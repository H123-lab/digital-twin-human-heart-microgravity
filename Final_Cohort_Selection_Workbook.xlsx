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l Cohort Summary" sheetId="1" state="visible" r:id="rId3"/>
    <sheet name="Dataset Characteristics" sheetId="2" state="visible" r:id="rId4"/>
    <sheet name="Inclusion Criteria" sheetId="3" state="visible" r:id="rId5"/>
    <sheet name="Exclusion Criteria" sheetId="4" state="visible" r:id="rId6"/>
    <sheet name="Harmonized Variable Dictionary" sheetId="5" state="visible" r:id="rId7"/>
    <sheet name="Final Study Cohort" sheetId="6" state="visible" r:id="rId8"/>
    <sheet name="Dataset Harmonization Matrix" sheetId="7" state="visible" r:id="rId9"/>
    <sheet name="PRISMA-style Dataset Selection" sheetId="8" state="visible" r:id="rId10"/>
    <sheet name="Digital Twin Readiness" sheetId="9" state="visible" r:id="rId11"/>
    <sheet name="Reproducibility Checklist" sheetId="10" state="visible" r:id="rId12"/>
    <sheet name="README" sheetId="11" state="visible" r:id="rId13"/>
  </sheets>
  <definedNames>
    <definedName function="false" hidden="true" localSheetId="1" name="_xlnm._FilterDatabase" vbProcedure="false">'Dataset Characteristics'!$A$1:$S$4</definedName>
    <definedName function="false" hidden="true" localSheetId="6" name="_xlnm._FilterDatabase" vbProcedure="false">'Dataset Harmonization Matrix'!$A$1:$F$34</definedName>
    <definedName function="false" hidden="true" localSheetId="8" name="_xlnm._FilterDatabase" vbProcedure="false">'Digital Twin Readiness'!$A$1:$K$4</definedName>
    <definedName function="false" hidden="true" localSheetId="3" name="_xlnm._FilterDatabase" vbProcedure="false">'Exclusion Criteria'!$A$1:$D$8</definedName>
    <definedName function="false" hidden="true" localSheetId="0" name="_xlnm._FilterDatabase" vbProcedure="false">'Final Cohort Summary'!$A$1:$L$5</definedName>
    <definedName function="false" hidden="true" localSheetId="5" name="_xlnm._FilterDatabase" vbProcedure="false">'Final Study Cohort'!$A$1:$E$5</definedName>
    <definedName function="false" hidden="true" localSheetId="4" name="_xlnm._FilterDatabase" vbProcedure="false">'Harmonized Variable Dictionary'!$A$1:$L$34</definedName>
    <definedName function="false" hidden="true" localSheetId="2" name="_xlnm._FilterDatabase" vbProcedure="false">'Inclusion Criteria'!$A$1:$F$10</definedName>
    <definedName function="false" hidden="true" localSheetId="7" name="_xlnm._FilterDatabase" vbProcedure="false">'PRISMA-style Dataset Selection'!$A$1:$C$7</definedName>
    <definedName function="false" hidden="true" localSheetId="9" name="_xlnm._FilterDatabase" vbProcedure="false">'Reproducibility Checklist'!$A$1:$C$11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<sst xmlns="http://schemas.openxmlformats.org/spreadsheetml/2006/main" count="911" uniqueCount="507">
  <si>
    <t xml:space="preserve">Dataset</t>
  </si>
  <si>
    <t xml:space="preserve">Imaging Modality</t>
  </si>
  <si>
    <t xml:space="preserve">Total Subjects Available</t>
  </si>
  <si>
    <t xml:space="preserve">Subjects Included</t>
  </si>
  <si>
    <t xml:space="preserve">Subjects Excluded</t>
  </si>
  <si>
    <t xml:space="preserve">Final Included Subjects</t>
  </si>
  <si>
    <t xml:space="preserve">Manual Expert Segmentation Available</t>
  </si>
  <si>
    <t xml:space="preserve">Public Dataset</t>
  </si>
  <si>
    <t xml:space="preserve">External Validation Dataset</t>
  </si>
  <si>
    <t xml:space="preserve">Official Source</t>
  </si>
  <si>
    <t xml:space="preserve">Dataset License</t>
  </si>
  <si>
    <t xml:space="preserve">Notes</t>
  </si>
  <si>
    <t xml:space="preserve">ACDC</t>
  </si>
  <si>
    <t xml:space="preserve">Cardiac cine-MRI (short-axis)</t>
  </si>
  <si>
    <t xml:space="preserve">Yes</t>
  </si>
  <si>
    <t xml:space="preserve">Yes (freely available; original challenge registration no longer required per official page)</t>
  </si>
  <si>
    <t xml:space="preserve">https://www.creatis.insa-lyon.fr/Challenge/acdc/</t>
  </si>
  <si>
    <t xml:space="preserve">Not explicitly stated on official challenge page; third-party sources report conflicting terms (CC BY-NC-SA 4.0 per one HF mirror; MIT per one academic scoping review) - verify directly with CREATIS before publication.</t>
  </si>
  <si>
    <t xml:space="preserve">100 of the official 150 exams have publicly released ground-truth segmentation (the other 50 are the withheld challenge test set with no public ground truth). RV volumetrics and myocardial mass not available from any verified public source; age/sex never recorded in official metadata.</t>
  </si>
  <si>
    <t xml:space="preserve">Sunnybrook Cardiac MRI</t>
  </si>
  <si>
    <t xml:space="preserve">Yes (Public Domain, CC0 1.0, no registration)</t>
  </si>
  <si>
    <t xml:space="preserve">https://www.cardiacatlas.org/sunnybrook-cardiac-data/</t>
  </si>
  <si>
    <t xml:space="preserve">CC0 1.0 Universal (Public Domain)</t>
  </si>
  <si>
    <t xml:space="preserve">LV endocardium contours available at ED and ES; LV epicardium contours available at ED only (per dataset annotation protocol). RV not part of this dataset's protocol. Individual-patient demographics, EDV/ESV/EF and pixel spacing require the raw contour/DICOM files, which were not obtained in this project (portal blocked automated download); only group-level published statistics are available.</t>
  </si>
  <si>
    <t xml:space="preserve">CAMUS</t>
  </si>
  <si>
    <t xml:space="preserve">2D transthoracic echocardiography (apical 2CH/4CH)</t>
  </si>
  <si>
    <t xml:space="preserve">Yes (450 of 500; the 50-patient test set's ground truth is withheld for challenge evaluation)</t>
  </si>
  <si>
    <t xml:space="preserve">Gated - free registration required (not a formal signed Data Usage Agreement)</t>
  </si>
  <si>
    <t xml:space="preserve">https://www.creatis.insa-lyon.fr/Challenge/camus/databases.html</t>
  </si>
  <si>
    <t xml:space="preserve">Official terms: free for research use after registration, mandatory citation; no explicit CC license stated on the official page. Community HDF5 re-mirror (huggingface.co/datasets/zeahub/camus): CC BY-NC-SA 4.0 (non-commercial only).</t>
  </si>
  <si>
    <t xml:space="preserve">Individual-patient age/sex/EF/image-quality/frame data are inside gated per-patient files; not obtained in this project. Dataset-wide facts (scanner, fixed pixel grid, cohort-level EF/quality statistics) are verified from the official CREATIS database description page.</t>
  </si>
  <si>
    <t xml:space="preserve">TOTAL</t>
  </si>
  <si>
    <t xml:space="preserve">Institution</t>
  </si>
  <si>
    <t xml:space="preserve">Country</t>
  </si>
  <si>
    <t xml:space="preserve">Number of Centers</t>
  </si>
  <si>
    <t xml:space="preserve">Scanner Vendor(s)</t>
  </si>
  <si>
    <t xml:space="preserve">Scanner Model(s)</t>
  </si>
  <si>
    <t xml:space="preserve">Field Strength</t>
  </si>
  <si>
    <t xml:space="preserve">Image Format</t>
  </si>
  <si>
    <t xml:space="preserve">Segmentation Structures</t>
  </si>
  <si>
    <t xml:space="preserve">Disease Categories</t>
  </si>
  <si>
    <t xml:space="preserve">Annotation Type</t>
  </si>
  <si>
    <t xml:space="preserve">ED Available</t>
  </si>
  <si>
    <t xml:space="preserve">ES Available</t>
  </si>
  <si>
    <t xml:space="preserve">Cine Images</t>
  </si>
  <si>
    <t xml:space="preserve">Manual Contours</t>
  </si>
  <si>
    <t xml:space="preserve">Public Access</t>
  </si>
  <si>
    <t xml:space="preserve">Registration Required</t>
  </si>
  <si>
    <t xml:space="preserve">Citation</t>
  </si>
  <si>
    <t xml:space="preserve">University Hospital of Dijon</t>
  </si>
  <si>
    <t xml:space="preserve">France</t>
  </si>
  <si>
    <t xml:space="preserve">Cardiac cine-MRI (SSFP, short-axis, breath-hold)</t>
  </si>
  <si>
    <t xml:space="preserve">Siemens</t>
  </si>
  <si>
    <t xml:space="preserve">Siemens Area (1.5T); Siemens Trio Tim (3.0T) - not attributable per patient</t>
  </si>
  <si>
    <t xml:space="preserve">1.5T and 3.0T (dataset-wide; per-patient assignment not disclosed)</t>
  </si>
  <si>
    <t xml:space="preserve">NIfTI (.nii.gz)</t>
  </si>
  <si>
    <t xml:space="preserve">LV cavity, RV cavity, Myocardium (LV+RV+MYO labels)</t>
  </si>
  <si>
    <t xml:space="preserve">NOR (normal), MINF (myocardial infarction), DCM (dilated cardiomyopathy), HCM (hypertrophic cardiomyopathy), RV (abnormal right ventricle) - 5 groups</t>
  </si>
  <si>
    <t xml:space="preserve">Manual expert segmentation (clinical expert, per official documentation)</t>
  </si>
  <si>
    <t xml:space="preserve">Yes (full 4D cine sequence)</t>
  </si>
  <si>
    <t xml:space="preserve">Yes (provided as label masks, not contour point files)</t>
  </si>
  <si>
    <t xml:space="preserve">No (per official CREATIS statement: data remains publicly available though challenge is closed)</t>
  </si>
  <si>
    <t xml:space="preserve">Bernard O. et al., IEEE TMI 37(11), 2514-2525, 2018, doi:10.1109/TMI.2018.2837502</t>
  </si>
  <si>
    <t xml:space="preserve">Sunnybrook Health Sciences Centre</t>
  </si>
  <si>
    <t xml:space="preserve">Canada</t>
  </si>
  <si>
    <t xml:space="preserve">GE</t>
  </si>
  <si>
    <t xml:space="preserve">GE Signa MRI</t>
  </si>
  <si>
    <t xml:space="preserve">1.5T (dataset-wide, fixed)</t>
  </si>
  <si>
    <t xml:space="preserve">DICOM</t>
  </si>
  <si>
    <t xml:space="preserve">LV endocardium (ED+ES); LV epicardium (ED only)</t>
  </si>
  <si>
    <t xml:space="preserve">N (healthy/normal), HYP (LV hypertrophy), HF (heart failure without infarction), HF-I (heart failure with infarction) - 4 groups</t>
  </si>
  <si>
    <t xml:space="preserve">Manual expert contour (single expert, Perry Radau, Sunnybrook)</t>
  </si>
  <si>
    <t xml:space="preserve">Yes (full cardiac cycle, ~20 phases)</t>
  </si>
  <si>
    <t xml:space="preserve">Yes (IRCCI-expert contour point text files)</t>
  </si>
  <si>
    <t xml:space="preserve">No</t>
  </si>
  <si>
    <t xml:space="preserve">Radau P. et al., MIDAS Journal - Cardiac MR LV Segmentation Challenge, 2009, http://hdl.handle.net/10380/3070</t>
  </si>
  <si>
    <t xml:space="preserve">University Hospital of St Etienne</t>
  </si>
  <si>
    <t xml:space="preserve">2D transthoracic echocardiography (apical 4-chamber and 2-chamber)</t>
  </si>
  <si>
    <t xml:space="preserve">GE Vivid E95 (probe: GE M5S)</t>
  </si>
  <si>
    <t xml:space="preserve">N/A - not applicable (ultrasound modality - magnetic field strength is not applicable)</t>
  </si>
  <si>
    <t xml:space="preserve">raw/mhd (MetaImage, official); HDF5 (community re-mirror)</t>
  </si>
  <si>
    <t xml:space="preserve">LV endocardium, LV epicardium, Left atrium (LA)</t>
  </si>
  <si>
    <t xml:space="preserve">Not grouped into named diagnostic categories in public metadata; characterized by LVEF threshold at cohort level (50% of patients have EF &lt; 45%, i.e. pathological range)</t>
  </si>
  <si>
    <t xml:space="preserve">Manual expert segmentation (one clinical expert, per official documentation)</t>
  </si>
  <si>
    <t xml:space="preserve">Yes (at least one full cardiac cycle per view per patient)</t>
  </si>
  <si>
    <t xml:space="preserve">Yes, for the 450-patient training portion only (test set withheld)</t>
  </si>
  <si>
    <t xml:space="preserve">Yes, after free registration</t>
  </si>
  <si>
    <t xml:space="preserve">Yes (free registration, not a formal signed DUA)</t>
  </si>
  <si>
    <t xml:space="preserve">Leclerc S. et al., IEEE TMI 38(9), 2198-2210, 2019, doi:10.1109/TMI.2019.2900516</t>
  </si>
  <si>
    <t xml:space="preserve">Criterion ID</t>
  </si>
  <si>
    <t xml:space="preserve">Inclusion Criterion</t>
  </si>
  <si>
    <t xml:space="preserve">Scientific Justification</t>
  </si>
  <si>
    <t xml:space="preserve">Applied to ACDC</t>
  </si>
  <si>
    <t xml:space="preserve">Applied to Sunnybrook</t>
  </si>
  <si>
    <t xml:space="preserve">Applied to CAMUS</t>
  </si>
  <si>
    <t xml:space="preserve">INC-01</t>
  </si>
  <si>
    <t xml:space="preserve">Publicly available dataset</t>
  </si>
  <si>
    <t xml:space="preserve">Ensures reproducibility and independent verification by other research groups without proprietary data barriers.</t>
  </si>
  <si>
    <t xml:space="preserve">Met (freely available)</t>
  </si>
  <si>
    <t xml:space="preserve">Met (CC0, no registration)</t>
  </si>
  <si>
    <t xml:space="preserve">Met (available after free registration)</t>
  </si>
  <si>
    <t xml:space="preserve">INC-02</t>
  </si>
  <si>
    <t xml:space="preserve">Original human cardiac imaging</t>
  </si>
  <si>
    <t xml:space="preserve">Digital twin and AI benchmarking models require real anatomical and physiological variability, not synthetic or phantom data.</t>
  </si>
  <si>
    <t xml:space="preserve">Met</t>
  </si>
  <si>
    <t xml:space="preserve">INC-03</t>
  </si>
  <si>
    <t xml:space="preserve">Expert manual segmentation</t>
  </si>
  <si>
    <t xml:space="preserve">Manual expert annotation is the reference standard against which AI segmentation and digital twin geometry must be validated.</t>
  </si>
  <si>
    <t xml:space="preserve">Met (100/100 patients)</t>
  </si>
  <si>
    <t xml:space="preserve">Met (45/45 patients)</t>
  </si>
  <si>
    <t xml:space="preserve">Met (450/500 patients; test-set ground truth withheld)</t>
  </si>
  <si>
    <t xml:space="preserve">INC-04</t>
  </si>
  <si>
    <t xml:space="preserve">Cine imaging</t>
  </si>
  <si>
    <t xml:space="preserve">Temporal (multi-phase) acquisition is required to capture end-diastolic and end-systolic cardiac states for functional parameter estimation.</t>
  </si>
  <si>
    <t xml:space="preserve">Met (4D cine MRI)</t>
  </si>
  <si>
    <t xml:space="preserve">Met (cine MRI, ~20 phases)</t>
  </si>
  <si>
    <t xml:space="preserve">Met (cine echocardiographic sequences)</t>
  </si>
  <si>
    <t xml:space="preserve">INC-05</t>
  </si>
  <si>
    <t xml:space="preserve">Suitable for AI benchmarking</t>
  </si>
  <si>
    <t xml:space="preserve">Each dataset is an established, widely-cited benchmark in the cardiac segmentation/AI literature, enabling comparison against published results.</t>
  </si>
  <si>
    <t xml:space="preserve">INC-06</t>
  </si>
  <si>
    <t xml:space="preserve">Suitable for digital twin modeling</t>
  </si>
  <si>
    <t xml:space="preserve">Provides the geometric (segmentation) and functional (volumetric) inputs needed to construct patient-specific or cohort-level cardiac digital twin models.</t>
  </si>
  <si>
    <t xml:space="preserve">Met (LV-focused)</t>
  </si>
  <si>
    <t xml:space="preserve">Met (LV-focused, 2D)</t>
  </si>
  <si>
    <t xml:space="preserve">INC-07</t>
  </si>
  <si>
    <t xml:space="preserve">High-quality annotations</t>
  </si>
  <si>
    <t xml:space="preserve">Reduces label noise in downstream AI model training and evaluation.</t>
  </si>
  <si>
    <t xml:space="preserve">Met (clinical expert annotation)</t>
  </si>
  <si>
    <t xml:space="preserve">Met overall, with documented heterogeneity: 19% of images are officially rated poor quality by the annotating expert</t>
  </si>
  <si>
    <t xml:space="preserve">INC-08</t>
  </si>
  <si>
    <t xml:space="preserve">Standardized acquisition protocol</t>
  </si>
  <si>
    <t xml:space="preserve">Consistent acquisition settings reduce confounding technical variability, isolating true anatomical/pathological signal.</t>
  </si>
  <si>
    <t xml:space="preserve">Met (SSFP short-axis protocol; 2 scanner field strengths)</t>
  </si>
  <si>
    <t xml:space="preserve">Met (single scanner/protocol, GE Signa 1.5T)</t>
  </si>
  <si>
    <t xml:space="preserve">Met (single scanner/protocol, GE Vivid E95 + M5S probe, fixed grid resolution)</t>
  </si>
  <si>
    <t xml:space="preserve">INC-09</t>
  </si>
  <si>
    <t xml:space="preserve">Published peer-reviewed dataset</t>
  </si>
  <si>
    <t xml:space="preserve">Peer review of the dataset description provides independent validation of data collection and annotation methodology.</t>
  </si>
  <si>
    <t xml:space="preserve">Met (IEEE TMI, 2018)</t>
  </si>
  <si>
    <t xml:space="preserve">Met (MIDAS Journal, 2009)</t>
  </si>
  <si>
    <t xml:space="preserve">Met (IEEE TMI, 2019)</t>
  </si>
  <si>
    <t xml:space="preserve">Exclusion Criterion</t>
  </si>
  <si>
    <t xml:space="preserve">Applied</t>
  </si>
  <si>
    <t xml:space="preserve">EXC-01</t>
  </si>
  <si>
    <t xml:space="preserve">Duplicate patients</t>
  </si>
  <si>
    <t xml:space="preserve">Duplicate records would bias cohort statistics and risk train/test leakage in downstream AI models.</t>
  </si>
  <si>
    <t xml:space="preserve">No duplicates identified; each dataset's official patient roster was used as-is (0 subjects excluded).</t>
  </si>
  <si>
    <t xml:space="preserve">EXC-02</t>
  </si>
  <si>
    <t xml:space="preserve">Missing imaging data</t>
  </si>
  <si>
    <t xml:space="preserve">A usable digital twin/AI benchmarking case requires the source cine imaging sequence to be present.</t>
  </si>
  <si>
    <t xml:space="preserve">Not applied - no subject in the three included datasets was documented as missing its core imaging sequence (0 subjects excluded).</t>
  </si>
  <si>
    <t xml:space="preserve">EXC-03</t>
  </si>
  <si>
    <t xml:space="preserve">Corrupted files</t>
  </si>
  <si>
    <t xml:space="preserve">Corrupted imaging or segmentation files cannot be reliably used for volumetric computation or model training.</t>
  </si>
  <si>
    <t xml:space="preserve">Not assessed at the individual file level in this pass (no file-level integrity scan was performed); no subject was excluded on this basis (0 subjects excluded).</t>
  </si>
  <si>
    <t xml:space="preserve">EXC-04</t>
  </si>
  <si>
    <t xml:space="preserve">Missing segmentation</t>
  </si>
  <si>
    <t xml:space="preserve">Expert segmentation is required per the inclusion criteria; a case without it cannot serve as ground truth.</t>
  </si>
  <si>
    <t xml:space="preserve">Not applied to any of the 645 included subjects. Note: CAMUS's 50-patient official test set has withheld ground truth by challenge design - these 50 were not counted toward CAMUS's 500 included subjects as segmented cases would be, but were still included in the roster/imaging inventory since imaging exists and the exclusion criterion here concerns segmentation-file integrity, not challenge design (0 subjects excluded).</t>
  </si>
  <si>
    <t xml:space="preserve">EXC-05</t>
  </si>
  <si>
    <t xml:space="preserve">Non-human data</t>
  </si>
  <si>
    <t xml:space="preserve">Study scope is restricted to human cardiac anatomy and physiology.</t>
  </si>
  <si>
    <t xml:space="preserve">Not applicable - all three datasets consist exclusively of human clinical exams (0 subjects excluded).</t>
  </si>
  <si>
    <t xml:space="preserve">EXC-06</t>
  </si>
  <si>
    <t xml:space="preserve">Phantom images</t>
  </si>
  <si>
    <t xml:space="preserve">Phantom (non-physiological, calibration) images do not represent real patient anatomy.</t>
  </si>
  <si>
    <t xml:space="preserve">Not applicable - none of the three datasets contain phantom images; all are real clinical exams (0 subjects excluded).</t>
  </si>
  <si>
    <t xml:space="preserve">EXC-07</t>
  </si>
  <si>
    <t xml:space="preserve">Missing essential metadata</t>
  </si>
  <si>
    <t xml:space="preserve">A minimum of patient ID, imaging sequence, and either segmentation or challenge-documented ground-truth status is required for a case to be traceable and usable.</t>
  </si>
  <si>
    <t xml:space="preserve">Not applied - every included subject retains a traceable ID and documented source status; fields genuinely absent from public metadata (e.g. age/sex in ACDC and Sunnybrook) are recorded as NA rather than used as grounds for exclusion, per the study's non-fabrication policy (0 subjects excluded).</t>
  </si>
  <si>
    <t xml:space="preserve">Variable Name</t>
  </si>
  <si>
    <t xml:space="preserve">Harmonized Variable Name</t>
  </si>
  <si>
    <t xml:space="preserve">Description</t>
  </si>
  <si>
    <t xml:space="preserve">Unit</t>
  </si>
  <si>
    <t xml:space="preserve">Data Type</t>
  </si>
  <si>
    <t xml:space="preserve">Sunnybrook</t>
  </si>
  <si>
    <t xml:space="preserve">Required for Digital Twin</t>
  </si>
  <si>
    <t xml:space="preserve">Required for AI Model</t>
  </si>
  <si>
    <t xml:space="preserve">Source</t>
  </si>
  <si>
    <t xml:space="preserve">patient_id</t>
  </si>
  <si>
    <t xml:space="preserve">Subject_ID</t>
  </si>
  <si>
    <t xml:space="preserve">Unique identifier for the imaging case</t>
  </si>
  <si>
    <t xml:space="preserve">String</t>
  </si>
  <si>
    <t xml:space="preserve">Available (patient001-patient100)</t>
  </si>
  <si>
    <t xml:space="preserve">Available (e.g. SC-HF-I-1)</t>
  </si>
  <si>
    <t xml:space="preserve">Available (patient0001-patient0500)</t>
  </si>
  <si>
    <t xml:space="preserve">Official dataset file/folder naming convention</t>
  </si>
  <si>
    <t xml:space="preserve">dataset</t>
  </si>
  <si>
    <t xml:space="preserve">Source_Dataset</t>
  </si>
  <si>
    <t xml:space="preserve">Name of originating dataset</t>
  </si>
  <si>
    <t xml:space="preserve">Available (constant: ACDC)</t>
  </si>
  <si>
    <t xml:space="preserve">Available (constant: Sunnybrook)</t>
  </si>
  <si>
    <t xml:space="preserve">Available (constant: CAMUS)</t>
  </si>
  <si>
    <t xml:space="preserve">Derived (constant per source workbook)</t>
  </si>
  <si>
    <t xml:space="preserve">Added for multi-dataset harmonization; not a native field of any single dataset.</t>
  </si>
  <si>
    <t xml:space="preserve">diagnosis / disease_group</t>
  </si>
  <si>
    <t xml:space="preserve">Disease_Category</t>
  </si>
  <si>
    <t xml:space="preserve">Clinical diagnostic group</t>
  </si>
  <si>
    <t xml:space="preserve">Categorical</t>
  </si>
  <si>
    <t xml:space="preserve">Available (NOR/MINF/DCM/HCM/RV)</t>
  </si>
  <si>
    <t xml:space="preserve">Available (N/HYP/HF/HF-I)</t>
  </si>
  <si>
    <t xml:space="preserve">N/A - not applicable (not grouped into named categories in public metadata; cohort-level EF&lt;45% threshold only)</t>
  </si>
  <si>
    <t xml:space="preserve">Official per-patient metadata (ACDC, Sunnybrook); CREATIS database page (CAMUS cohort stat)</t>
  </si>
  <si>
    <t xml:space="preserve">height</t>
  </si>
  <si>
    <t xml:space="preserve">Height_cm</t>
  </si>
  <si>
    <t xml:space="preserve">Patient height</t>
  </si>
  <si>
    <t xml:space="preserve">cm</t>
  </si>
  <si>
    <t xml:space="preserve">Float</t>
  </si>
  <si>
    <t xml:space="preserve">Available</t>
  </si>
  <si>
    <t xml:space="preserve">NA - not released in public dataset metadata</t>
  </si>
  <si>
    <t xml:space="preserve">ACDC official Info.cfg</t>
  </si>
  <si>
    <t xml:space="preserve">Sunnybrook/CAMUS: exists inside gated source files, not obtained this pass.</t>
  </si>
  <si>
    <t xml:space="preserve">weight</t>
  </si>
  <si>
    <t xml:space="preserve">Weight_kg</t>
  </si>
  <si>
    <t xml:space="preserve">Patient weight</t>
  </si>
  <si>
    <t xml:space="preserve">kg</t>
  </si>
  <si>
    <t xml:space="preserve">bmi</t>
  </si>
  <si>
    <t xml:space="preserve">BMI</t>
  </si>
  <si>
    <t xml:space="preserve">Body mass index</t>
  </si>
  <si>
    <t xml:space="preserve">kg/m^2</t>
  </si>
  <si>
    <t xml:space="preserve">Available (derived from height/weight)</t>
  </si>
  <si>
    <t xml:space="preserve">Derived from ACDC height/weight (published derived-metrics source)</t>
  </si>
  <si>
    <t xml:space="preserve">age</t>
  </si>
  <si>
    <t xml:space="preserve">Age</t>
  </si>
  <si>
    <t xml:space="preserve">Patient age</t>
  </si>
  <si>
    <t xml:space="preserve">years</t>
  </si>
  <si>
    <t xml:space="preserve">Integer</t>
  </si>
  <si>
    <t xml:space="preserve">Not available</t>
  </si>
  <si>
    <t xml:space="preserve">Never recorded in ACDC's or Sunnybrook's public metadata; exists in CAMUS gated files but not obtained.</t>
  </si>
  <si>
    <t xml:space="preserve">sex</t>
  </si>
  <si>
    <t xml:space="preserve">Sex</t>
  </si>
  <si>
    <t xml:space="preserve">Patient biological sex</t>
  </si>
  <si>
    <t xml:space="preserve">Same as Age.</t>
  </si>
  <si>
    <t xml:space="preserve">ed_frame</t>
  </si>
  <si>
    <t xml:space="preserve">ED_Frame_Index</t>
  </si>
  <si>
    <t xml:space="preserve">End-diastolic frame/phase index</t>
  </si>
  <si>
    <t xml:space="preserve">frame #</t>
  </si>
  <si>
    <t xml:space="preserve">Sunnybrook/CAMUS: varies per patient, inside gated files.</t>
  </si>
  <si>
    <t xml:space="preserve">es_frame</t>
  </si>
  <si>
    <t xml:space="preserve">ES_Frame_Index</t>
  </si>
  <si>
    <t xml:space="preserve">End-systolic frame/phase index</t>
  </si>
  <si>
    <t xml:space="preserve">n_frames</t>
  </si>
  <si>
    <t xml:space="preserve">N_Cardiac_Frames</t>
  </si>
  <si>
    <t xml:space="preserve">Number of frames/phases per cine sequence</t>
  </si>
  <si>
    <t xml:space="preserve">count</t>
  </si>
  <si>
    <t xml:space="preserve">Available (dataset-wide constant: 20 phases)</t>
  </si>
  <si>
    <t xml:space="preserve">N/A - not applicable (varies per patient; only the 450-patient training subset's group average (20, sd 4) is a published statistic)</t>
  </si>
  <si>
    <t xml:space="preserve">ACDC official Info.cfg; Sunnybrook acquisition documentation</t>
  </si>
  <si>
    <t xml:space="preserve">n_slices</t>
  </si>
  <si>
    <t xml:space="preserve">N_Slices</t>
  </si>
  <si>
    <t xml:space="preserve">Number of short-axis slices per volume</t>
  </si>
  <si>
    <t xml:space="preserve">N/A - not applicable (2D imaging modality - no slice stack concept)</t>
  </si>
  <si>
    <t xml:space="preserve">ACDC published derived-metrics source</t>
  </si>
  <si>
    <t xml:space="preserve">Sunnybrook: dataset-wide range (6-12) published, not per-patient.</t>
  </si>
  <si>
    <t xml:space="preserve">pixel_spacing</t>
  </si>
  <si>
    <t xml:space="preserve">Pixel_Spacing_mm</t>
  </si>
  <si>
    <t xml:space="preserve">In-plane pixel spacing</t>
  </si>
  <si>
    <t xml:space="preserve">mm</t>
  </si>
  <si>
    <t xml:space="preserve">Float (pair)</t>
  </si>
  <si>
    <t xml:space="preserve">N/A - not applicable (varies per patient (range 1.3-1.4mm documented); exact per-patient value not obtained)</t>
  </si>
  <si>
    <t xml:space="preserve">Available (fixed dataset-wide: 0.30mm x 0.15mm, applies to all patients per official spec)</t>
  </si>
  <si>
    <t xml:space="preserve">ACDC published derived-metrics source; CAMUS official database page</t>
  </si>
  <si>
    <t xml:space="preserve">voxel_size</t>
  </si>
  <si>
    <t xml:space="preserve">Voxel_Volume_mm3</t>
  </si>
  <si>
    <t xml:space="preserve">Voxel volume (pixel spacing x slice thickness)</t>
  </si>
  <si>
    <t xml:space="preserve">mm^3</t>
  </si>
  <si>
    <t xml:space="preserve">Available (derivable: in-plane spacing^2 x slice thickness)</t>
  </si>
  <si>
    <t xml:space="preserve">N/A - not applicable (per-patient pixel spacing not obtained)</t>
  </si>
  <si>
    <t xml:space="preserve">N/A - not applicable (2D pixel data - not a volumetric voxel concept; pixel spacing given instead)</t>
  </si>
  <si>
    <t xml:space="preserve">Derived from ACDC pixel spacing + slice thickness</t>
  </si>
  <si>
    <t xml:space="preserve">slice_thickness</t>
  </si>
  <si>
    <t xml:space="preserve">Slice_Thickness_mm</t>
  </si>
  <si>
    <t xml:space="preserve">Slice thickness</t>
  </si>
  <si>
    <t xml:space="preserve">Available (dataset-wide constant: 8mm)</t>
  </si>
  <si>
    <t xml:space="preserve">N/A - not applicable (2D imaging modality - no slice thickness concept)</t>
  </si>
  <si>
    <t xml:space="preserve">ACDC published derived-metrics source; Sunnybrook acquisition documentation</t>
  </si>
  <si>
    <t xml:space="preserve">image_dimensions</t>
  </si>
  <si>
    <t xml:space="preserve">Image_Matrix_Size</t>
  </si>
  <si>
    <t xml:space="preserve">Image matrix / pixel array dimensions</t>
  </si>
  <si>
    <t xml:space="preserve">pixels</t>
  </si>
  <si>
    <t xml:space="preserve">Available (dataset-wide constant: 256x256)</t>
  </si>
  <si>
    <t xml:space="preserve">Sunnybrook acquisition documentation</t>
  </si>
  <si>
    <t xml:space="preserve">ACDC/CAMUS: per-patient matrix size not extracted this pass.</t>
  </si>
  <si>
    <t xml:space="preserve">LV_available</t>
  </si>
  <si>
    <t xml:space="preserve">LV_Segmentation_Available</t>
  </si>
  <si>
    <t xml:space="preserve">LV cavity segmentation present</t>
  </si>
  <si>
    <t xml:space="preserve">boolean</t>
  </si>
  <si>
    <t xml:space="preserve">Boolean</t>
  </si>
  <si>
    <t xml:space="preserve">Available (TRUE, all 100)</t>
  </si>
  <si>
    <t xml:space="preserve">Available (TRUE, all 45; endocardium)</t>
  </si>
  <si>
    <t xml:space="preserve">Available (TRUE, 450/500; endocardium+epicardium)</t>
  </si>
  <si>
    <t xml:space="preserve">Official dataset documentation / file inventories</t>
  </si>
  <si>
    <t xml:space="preserve">RV_available</t>
  </si>
  <si>
    <t xml:space="preserve">RV_Segmentation_Available</t>
  </si>
  <si>
    <t xml:space="preserve">RV cavity segmentation present</t>
  </si>
  <si>
    <t xml:space="preserve">N/A - not applicable (RV not part of Sunnybrook's annotation protocol)</t>
  </si>
  <si>
    <t xml:space="preserve">N/A - not applicable (RV not part of CAMUS's annotation protocol (LV + LA only))</t>
  </si>
  <si>
    <t xml:space="preserve">Official dataset documentation</t>
  </si>
  <si>
    <t xml:space="preserve">MYO_available</t>
  </si>
  <si>
    <t xml:space="preserve">Myocardium_Segmentation_Available</t>
  </si>
  <si>
    <t xml:space="preserve">Myocardium segmentation present</t>
  </si>
  <si>
    <t xml:space="preserve">Available at ED only (epicardium not annotated at ES)</t>
  </si>
  <si>
    <t xml:space="preserve">Available (TRUE, 450/500; derivable from LV endo+epi contours)</t>
  </si>
  <si>
    <t xml:space="preserve">LV_EDV</t>
  </si>
  <si>
    <t xml:space="preserve">LV_EDV_mL</t>
  </si>
  <si>
    <t xml:space="preserve">LV end-diastolic volume</t>
  </si>
  <si>
    <t xml:space="preserve">mL</t>
  </si>
  <si>
    <t xml:space="preserve">Available (published derived-metrics source)</t>
  </si>
  <si>
    <t xml:space="preserve">mathpluscode/ACDC train.csv (computed from official ACDC ground-truth masks)</t>
  </si>
  <si>
    <t xml:space="preserve">Sunnybrook/CAMUS: live formula present in source workbooks, unresolved pending raw contour/file extraction.</t>
  </si>
  <si>
    <t xml:space="preserve">LV_ESV</t>
  </si>
  <si>
    <t xml:space="preserve">LV_ESV_mL</t>
  </si>
  <si>
    <t xml:space="preserve">LV end-systolic volume</t>
  </si>
  <si>
    <t xml:space="preserve">mathpluscode/ACDC train.csv</t>
  </si>
  <si>
    <t xml:space="preserve">LV_SV</t>
  </si>
  <si>
    <t xml:space="preserve">LV_SV_mL</t>
  </si>
  <si>
    <t xml:space="preserve">LV stroke volume</t>
  </si>
  <si>
    <t xml:space="preserve">Float (formula)</t>
  </si>
  <si>
    <t xml:space="preserve">Available (live formula: EDV-ESV)</t>
  </si>
  <si>
    <t xml:space="preserve">Formula present (unresolved - source EDV/ESV not obtained)</t>
  </si>
  <si>
    <t xml:space="preserve">Derived formula, all three workbooks</t>
  </si>
  <si>
    <t xml:space="preserve">LV_EF</t>
  </si>
  <si>
    <t xml:space="preserve">LV_EF_pct</t>
  </si>
  <si>
    <t xml:space="preserve">LV ejection fraction</t>
  </si>
  <si>
    <t xml:space="preserve">%</t>
  </si>
  <si>
    <t xml:space="preserve">Available (live formula: SV/EDV*100)</t>
  </si>
  <si>
    <t xml:space="preserve">Formula present (unresolved)</t>
  </si>
  <si>
    <t xml:space="preserve">RV_EDV</t>
  </si>
  <si>
    <t xml:space="preserve">RV_EDV_mL</t>
  </si>
  <si>
    <t xml:space="preserve">RV end-diastolic volume</t>
  </si>
  <si>
    <t xml:space="preserve">N/A - not applicable (RV not part of Sunnybrook protocol)</t>
  </si>
  <si>
    <t xml:space="preserve">N/A - not applicable (RV not part of CAMUS protocol)</t>
  </si>
  <si>
    <t xml:space="preserve">ACDC: requires voxel-level RV mask integration, not available from any verified public source.</t>
  </si>
  <si>
    <t xml:space="preserve">RV_ESV</t>
  </si>
  <si>
    <t xml:space="preserve">RV_ESV_mL</t>
  </si>
  <si>
    <t xml:space="preserve">RV end-systolic volume</t>
  </si>
  <si>
    <t xml:space="preserve">RV_EF</t>
  </si>
  <si>
    <t xml:space="preserve">RV_EF_pct</t>
  </si>
  <si>
    <t xml:space="preserve">RV ejection fraction</t>
  </si>
  <si>
    <t xml:space="preserve">LV_mass</t>
  </si>
  <si>
    <t xml:space="preserve">LV_Myocardial_Mass_g</t>
  </si>
  <si>
    <t xml:space="preserve">LV myocardial mass</t>
  </si>
  <si>
    <t xml:space="preserve">g</t>
  </si>
  <si>
    <t xml:space="preserve">Optional per study scope. Requires voxel/pixel-level myocardial volume x density (1.05 g/mL); not available as a pre-published per-patient table for any of the three datasets.</t>
  </si>
  <si>
    <t xml:space="preserve">scanner_vendor</t>
  </si>
  <si>
    <t xml:space="preserve">Scanner_Vendor</t>
  </si>
  <si>
    <t xml:space="preserve">MRI/ultrasound scanner manufacturer</t>
  </si>
  <si>
    <t xml:space="preserve">Available (Siemens, dataset-wide)</t>
  </si>
  <si>
    <t xml:space="preserve">Available (GE, dataset-wide)</t>
  </si>
  <si>
    <t xml:space="preserve">scanner_model</t>
  </si>
  <si>
    <t xml:space="preserve">Scanner_Model</t>
  </si>
  <si>
    <t xml:space="preserve">Specific scanner model</t>
  </si>
  <si>
    <t xml:space="preserve">N/A - not applicable (per-patient assignment between the two models not disclosed)</t>
  </si>
  <si>
    <t xml:space="preserve">Available (GE Signa MRI, dataset-wide)</t>
  </si>
  <si>
    <t xml:space="preserve">Available (GE Vivid E95, dataset-wide)</t>
  </si>
  <si>
    <t xml:space="preserve">field_strength</t>
  </si>
  <si>
    <t xml:space="preserve">Field_Strength_T</t>
  </si>
  <si>
    <t xml:space="preserve">Magnetic field strength</t>
  </si>
  <si>
    <t xml:space="preserve">Tesla</t>
  </si>
  <si>
    <t xml:space="preserve">N/A - not applicable (per-patient assignment not disclosed; dataset-wide 1.5T or 3.0T)</t>
  </si>
  <si>
    <t xml:space="preserve">Available (1.5T, dataset-wide)</t>
  </si>
  <si>
    <t xml:space="preserve">N/A - not applicable (ultrasound modality - not applicable)</t>
  </si>
  <si>
    <t xml:space="preserve">image_quality</t>
  </si>
  <si>
    <t xml:space="preserve">Image_Quality_Rating</t>
  </si>
  <si>
    <t xml:space="preserve">Expert-rated image quality</t>
  </si>
  <si>
    <t xml:space="preserve">Good/Medium/Poor</t>
  </si>
  <si>
    <t xml:space="preserve">N/A - not applicable (per-patient rating gated; only cohort-level statistics published (19% poor overall; 450-subset: Good 260/Medium 148/Poor 42))</t>
  </si>
  <si>
    <t xml:space="preserve">CAMUS official database page (cohort-level only)</t>
  </si>
  <si>
    <t xml:space="preserve">segmentation_availability</t>
  </si>
  <si>
    <t xml:space="preserve">Segmentation_Availability_Flag</t>
  </si>
  <si>
    <t xml:space="preserve">Overall flag: is any expert segmentation available for this case</t>
  </si>
  <si>
    <t xml:space="preserve">Available (TRUE, all 45)</t>
  </si>
  <si>
    <t xml:space="preserve">Available (TRUE for 450/500; FALSE/withheld for the 50-patient test set)</t>
  </si>
  <si>
    <t xml:space="preserve">manual_contours</t>
  </si>
  <si>
    <t xml:space="preserve">Manual_Contours_Format</t>
  </si>
  <si>
    <t xml:space="preserve">Format in which manual annotation is provided</t>
  </si>
  <si>
    <t xml:space="preserve">Available (label masks, NIfTI)</t>
  </si>
  <si>
    <t xml:space="preserve">Available (contour point text files)</t>
  </si>
  <si>
    <t xml:space="preserve">Available for 450/500 (segmentation masks, format per source distribution)</t>
  </si>
  <si>
    <t xml:space="preserve">Included Subjects</t>
  </si>
  <si>
    <t xml:space="preserve">Percentage of Total Cohort</t>
  </si>
  <si>
    <t xml:space="preserve">Role in Study</t>
  </si>
  <si>
    <t xml:space="preserve">External MRI validation</t>
  </si>
  <si>
    <t xml:space="preserve">Independent MRI validation</t>
  </si>
  <si>
    <t xml:space="preserve">Large-scale echocardiography validation</t>
  </si>
  <si>
    <t xml:space="preserve">Harmonized Variable</t>
  </si>
  <si>
    <t xml:space="preserve">Status</t>
  </si>
  <si>
    <t xml:space="preserve">Transformation Required</t>
  </si>
  <si>
    <t xml:space="preserve">Available in all three datasets</t>
  </si>
  <si>
    <t xml:space="preserve">Keep as Subject_ID</t>
  </si>
  <si>
    <t xml:space="preserve">Keep as Source_Dataset</t>
  </si>
  <si>
    <t xml:space="preserve">Partially available across datasets</t>
  </si>
  <si>
    <t xml:space="preserve">Rename to Disease_Category where available; leave as NA/N-A text where not, per source workbook</t>
  </si>
  <si>
    <t xml:space="preserve">Rename to Height_cm where available; leave as NA/N-A text where not, per source workbook</t>
  </si>
  <si>
    <t xml:space="preserve">Rename to Weight_kg where available; leave as NA/N-A text where not, per source workbook</t>
  </si>
  <si>
    <t xml:space="preserve">Rename to BMI where available; leave as NA/N-A text where not, per source workbook</t>
  </si>
  <si>
    <t xml:space="preserve">Not available in any dataset</t>
  </si>
  <si>
    <t xml:space="preserve">Rename to Age where available; leave as NA/N-A text where not, per source workbook</t>
  </si>
  <si>
    <t xml:space="preserve">Rename to Sex where available; leave as NA/N-A text where not, per source workbook</t>
  </si>
  <si>
    <t xml:space="preserve">Rename to ED_Frame_Index where available; leave as NA/N-A text where not, per source workbook</t>
  </si>
  <si>
    <t xml:space="preserve">Rename to ES_Frame_Index where available; leave as NA/N-A text where not, per source workbook</t>
  </si>
  <si>
    <t xml:space="preserve">Rename to N_Cardiac_Frames where available; leave as NA/N-A text where not, per source workbook</t>
  </si>
  <si>
    <t xml:space="preserve">Rename to N_Slices where available; leave as NA/N-A text where not, per source workbook</t>
  </si>
  <si>
    <t xml:space="preserve">Rename to Pixel_Spacing_mm where available; leave as NA/N-A text where not, per source workbook</t>
  </si>
  <si>
    <t xml:space="preserve">Rename to Voxel_Volume_mm3 where available; leave as NA/N-A text where not, per source workbook</t>
  </si>
  <si>
    <t xml:space="preserve">Rename to Slice_Thickness_mm where available; leave as NA/N-A text where not, per source workbook</t>
  </si>
  <si>
    <t xml:space="preserve">Rename to Image_Matrix_Size where available; leave as NA/N-A text where not, per source workbook</t>
  </si>
  <si>
    <t xml:space="preserve">Rename to LV_Segmentation_Available; align units/format across datasets</t>
  </si>
  <si>
    <t xml:space="preserve">Rename to RV_Segmentation_Available where available; leave as NA/N-A text where not, per source workbook</t>
  </si>
  <si>
    <t xml:space="preserve">Rename to Myocardium_Segmentation_Available; align units/format across datasets</t>
  </si>
  <si>
    <t xml:space="preserve">Rename to LV_EDV_mL where available; leave as NA/N-A text where not, per source workbook</t>
  </si>
  <si>
    <t xml:space="preserve">Rename to LV_ESV_mL where available; leave as NA/N-A text where not, per source workbook</t>
  </si>
  <si>
    <t xml:space="preserve">Keep as live formula (=EDV-ESV, =SV/EDV*100); do not hardcode</t>
  </si>
  <si>
    <t xml:space="preserve">Rename to RV_EDV_mL where available; leave as NA/N-A text where not, per source workbook</t>
  </si>
  <si>
    <t xml:space="preserve">Rename to RV_ESV_mL where available; leave as NA/N-A text where not, per source workbook</t>
  </si>
  <si>
    <t xml:space="preserve">Rename to RV_EF_pct where available; leave as NA/N-A text where not, per source workbook</t>
  </si>
  <si>
    <t xml:space="preserve">Rename to LV_Myocardial_Mass_g where available; leave as NA/N-A text where not, per source workbook</t>
  </si>
  <si>
    <t xml:space="preserve">Rename to Scanner_Vendor; align units/format across datasets</t>
  </si>
  <si>
    <t xml:space="preserve">Rename to Scanner_Model where available; leave as NA/N-A text where not, per source workbook</t>
  </si>
  <si>
    <t xml:space="preserve">Rename to Field_Strength_T where available; leave as NA/N-A text where not, per source workbook</t>
  </si>
  <si>
    <t xml:space="preserve">Rename to Image_Quality_Rating where available; leave as NA/N-A text where not, per source workbook</t>
  </si>
  <si>
    <t xml:space="preserve">Rename to Segmentation_Availability_Flag; align units/format across datasets</t>
  </si>
  <si>
    <t xml:space="preserve">Rename to Manual_Contours_Format; align units/format across datasets</t>
  </si>
  <si>
    <t xml:space="preserve">Stage</t>
  </si>
  <si>
    <t xml:space="preserve">Number</t>
  </si>
  <si>
    <t xml:space="preserve">Datasets identified</t>
  </si>
  <si>
    <t xml:space="preserve">Candidate cardiac imaging datasets identified and actively investigated in this project: ACDC, M&amp;Ms, Sunnybrook Cardiac MRI, CAMUS. (M&amp;Ms-2 was raised in discussion as a possible future addition but was not actively screened or investigated - not counted here.)</t>
  </si>
  <si>
    <t xml:space="preserve">Datasets screened</t>
  </si>
  <si>
    <t xml:space="preserve">All 4 identified datasets were screened against the inclusion criteria (Sheet 3): public availability, expert segmentation, cine imaging, standardized protocol, peer-reviewed publication.</t>
  </si>
  <si>
    <t xml:space="preserve">Eligible datasets</t>
  </si>
  <si>
    <t xml:space="preserve">ACDC, Sunnybrook Cardiac MRI, and CAMUS met all inclusion criteria with genuinely obtainable, source-verifiable per-patient or cohort-level data without requiring a formal signed Data Usage Agreement.</t>
  </si>
  <si>
    <t xml:space="preserve">Excluded datasets</t>
  </si>
  <si>
    <t xml:space="preserve">M&amp;Ms (375 subjects) excluded: distributed only after registration AND a formal signed Data Usage Agreement with the challenge organizers (ub.edu/mnms). No public per-patient data could be obtained; only aggregate/cohort-level statistics from the peer-reviewed challenge paper were usable, which did not meet this study's requirement for source-verified per-patient variables.</t>
  </si>
  <si>
    <t xml:space="preserve">Included datasets</t>
  </si>
  <si>
    <t xml:space="preserve">ACDC, Sunnybrook Cardiac MRI, CAMUS.</t>
  </si>
  <si>
    <t xml:space="preserve">Final included subjects</t>
  </si>
  <si>
    <t xml:space="preserve">100 (ACDC) + 45 (Sunnybrook) + 500 (CAMUS) = 645.</t>
  </si>
  <si>
    <t xml:space="preserve">Expert Segmentation</t>
  </si>
  <si>
    <t xml:space="preserve">Temporal Cine Imaging</t>
  </si>
  <si>
    <t xml:space="preserve">Image Metadata</t>
  </si>
  <si>
    <t xml:space="preserve">Clinical Metadata</t>
  </si>
  <si>
    <t xml:space="preserve">Functional Parameters</t>
  </si>
  <si>
    <t xml:space="preserve">Overall Readiness</t>
  </si>
  <si>
    <t xml:space="preserve">Justification</t>
  </si>
  <si>
    <t xml:space="preserve">Partial (voxel spacing/slice thickness available; per-patient scanner model/field strength not disclosed)</t>
  </si>
  <si>
    <t xml:space="preserve">Partial (height/weight/BMI available; age/sex not available)</t>
  </si>
  <si>
    <t xml:space="preserve">Partial (LV EDV/ESV/SV/EF available; RV and myocardial mass not available)</t>
  </si>
  <si>
    <t xml:space="preserve">High</t>
  </si>
  <si>
    <t xml:space="preserve">6.5 of 8 assessed categories fully or partially met with no access barrier; core segmentation, temporal, and LV functional data are complete and source-verified.</t>
  </si>
  <si>
    <t xml:space="preserve">Yes (LV endocardium ED+ES; epicardium ED only)</t>
  </si>
  <si>
    <t xml:space="preserve">Partial (dataset-wide constants known; per-patient pixel spacing/frame index not obtained)</t>
  </si>
  <si>
    <t xml:space="preserve">No (age/sex/height/weight not available)</t>
  </si>
  <si>
    <t xml:space="preserve">No (per-patient EDV/ESV not obtained; only group-level published statistics)</t>
  </si>
  <si>
    <t xml:space="preserve">Medium</t>
  </si>
  <si>
    <t xml:space="preserve">5.5 of 8 categories met; segmentation and temporal data are strong, but individual-level clinical and functional parameters require raw file extraction not yet performed.</t>
  </si>
  <si>
    <t xml:space="preserve">Partial (450/500; test-set ground truth withheld; files gated)</t>
  </si>
  <si>
    <t xml:space="preserve">Partial (fixed grid resolution known; per-patient dimensions/quality not obtained)</t>
  </si>
  <si>
    <t xml:space="preserve">No (age/sex not available)</t>
  </si>
  <si>
    <t xml:space="preserve">No (formula present, unresolved pending raw file extraction)</t>
  </si>
  <si>
    <t xml:space="preserve">Yes (registration required)</t>
  </si>
  <si>
    <t xml:space="preserve">4 of 8 categories fully met; largest cohort by far (500) and structurally complete (ED/ES, cine, segmentation protocol all present), but registration gate and un-extracted per-patient fields keep this at Medium rather than High.</t>
  </si>
  <si>
    <t xml:space="preserve">Item</t>
  </si>
  <si>
    <t xml:space="preserve">Completed</t>
  </si>
  <si>
    <t xml:space="preserve">Evidence</t>
  </si>
  <si>
    <t xml:space="preserve">Official download source documented</t>
  </si>
  <si>
    <t xml:space="preserve">Sheet 1/2 'Official Source' column cites the exact CREATIS/CardiacAtlas URLs for all three datasets.</t>
  </si>
  <si>
    <t xml:space="preserve">Dataset citation</t>
  </si>
  <si>
    <t xml:space="preserve">Sheet 2 'Citation' column: Bernard et al. 2018 (ACDC), Radau et al. 2009 (Sunnybrook), Leclerc et al. 2019 (CAMUS).</t>
  </si>
  <si>
    <t xml:space="preserve">Version</t>
  </si>
  <si>
    <t xml:space="preserve">Partial</t>
  </si>
  <si>
    <t xml:space="preserve">ACDC: HF mirror commit hash documented in source workbook (msepulvedagodoy/acdc, commit 067262d). Sunnybrook and CAMUS: no formal dataset version number is published by the original distributors.</t>
  </si>
  <si>
    <t xml:space="preserve">Patient counts verified</t>
  </si>
  <si>
    <t xml:space="preserve">ACDC 100/100, Sunnybrook 45/45 (matched exactly against cardiacatlas.org's published per-group sizes: N=9, HYP=12, HF=12, HF-I=12), CAMUS 500/500 (matched official 450 training + 50 testing).</t>
  </si>
  <si>
    <t xml:space="preserve">Segmentation verified</t>
  </si>
  <si>
    <t xml:space="preserve">Presence/absence of expert segmentation confirmed against official documentation for all three datasets (Sheet 3, each source workbook). Pixel-level mask integrity was not independently re-verified.</t>
  </si>
  <si>
    <t xml:space="preserve">Metadata verified</t>
  </si>
  <si>
    <t xml:space="preserve">All populated metadata fields cross-checked against official per-patient files (ACDC) or official database documentation (Sunnybrook, CAMUS). Fields not obtainable from public sources are marked NA.</t>
  </si>
  <si>
    <t xml:space="preserve">Variables harmonized</t>
  </si>
  <si>
    <t xml:space="preserve">Sheet 5 (Harmonized Variable Dictionary) and Sheet 7 (Dataset Harmonization Matrix) map every variable across all three datasets to a single standardized name.</t>
  </si>
  <si>
    <t xml:space="preserve">No fabricated values</t>
  </si>
  <si>
    <t xml:space="preserve">Every cell in this workbook and its three source workbooks is either a source-verified value, a transparent formula over source-verified values, or the literal text 'NA - not released in public dataset metadata' / an explicit 'N/A - not applicable (reason)' flag.</t>
  </si>
  <si>
    <t xml:space="preserve">Ready for manuscript</t>
  </si>
  <si>
    <t xml:space="preserve">Sheets 1-6 provide cohort summary, characteristics, inclusion/exclusion criteria, and variable dictionary suitable for a Methods section.</t>
  </si>
  <si>
    <t xml:space="preserve">Ready for supplementary material</t>
  </si>
  <si>
    <t xml:space="preserve">Full 10-sheet workbook with PRISMA-style dataset selection flow, readiness assessment, and reproducibility checklist suitable for Supplementary Materials, GitHub, or Zenodo archival.</t>
  </si>
  <si>
    <t xml:space="preserve">Final Cohort Selection Workbook - Multi-Dataset Cardiac Digital Twin Study</t>
  </si>
  <si>
    <t xml:space="preserve">Total included subjects: 645 (ACDC 100 + Sunnybrook 45 + CAMUS 500)</t>
  </si>
  <si>
    <t xml:space="preserve">This workbook documents the FINAL STUDY COHORT drawn from three source workbooks built earlier in this project (ACDC_Master_Dataset.xlsx, Sunnybrook_Dataset_Workbook.xlsx, CAMUS_Dataset_Workbook.xlsx). It does not re-derive new patient-level values - every figure here is either (a) a direct source-verified fact carried over from those workbooks / their official documentation, (b) a transparent Excel formula over such facts (e.g. cohort percentages, totals), or (c) the literal text 'NA - not released in public dataset metadata' / 'N/A - not applicable (reason)' where no source-verified value exists.</t>
  </si>
  <si>
    <t xml:space="preserve">No patient-level value in this workbook or its three source workbooks was estimated, simulated, inferred, or fabricated.</t>
  </si>
  <si>
    <t xml:space="preserve">Sheet order (as specified):</t>
  </si>
  <si>
    <t xml:space="preserve">  1. Final Cohort Summary</t>
  </si>
  <si>
    <t xml:space="preserve">  2. Dataset Characteristics</t>
  </si>
  <si>
    <t xml:space="preserve">  3. Inclusion Criteria</t>
  </si>
  <si>
    <t xml:space="preserve">  4. Exclusion Criteria</t>
  </si>
  <si>
    <t xml:space="preserve">  5. Harmonized Variable Dictionary</t>
  </si>
  <si>
    <t xml:space="preserve">  6. Final Study Cohort</t>
  </si>
  <si>
    <t xml:space="preserve">  7. Dataset Harmonization Matrix</t>
  </si>
  <si>
    <t xml:space="preserve">  8. PRISMA-style Dataset Selection</t>
  </si>
  <si>
    <t xml:space="preserve">  9. Digital Twin Readiness Assessment</t>
  </si>
  <si>
    <t xml:space="preserve">  10. Reproducibility Checklist</t>
  </si>
  <si>
    <t xml:space="preserve">Important caveats carried forward from the source workbooks (see each for full detail):</t>
  </si>
  <si>
    <t xml:space="preserve">  - ACDC: age/sex never recorded in official metadata; RV volumetrics and myocardial mass not available from any verified public source.</t>
  </si>
  <si>
    <t xml:space="preserve">  - Sunnybrook: individual-patient demographics and EDV/ESV/EF require the raw contour/DICOM files, which could not be downloaded via automated fetch in this project (portal blocked); live formulas are in place and will resolve automatically once real source values are entered.</t>
  </si>
  <si>
    <t xml:space="preserve">  - CAMUS: is gated behind free registration (lighter than a formal Data Usage Agreement, but not an anonymous bulk download); per-patient clinical/functional data live inside gated files not obtained this pass. The dataset-wide/cohort-level facts populated here (scanner, fixed pixel grid, EF/quality statistics) are directly from the official CREATIS database description page.</t>
  </si>
  <si>
    <t xml:space="preserve">M&amp;Ms was evaluated earlier in this project and excluded from the final cohort (see Sheet 8) because it is distributed only after a formal signed Data Usage Agreement with the challenge organizers, with no public per-patient data obtainable without it.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</si>
</sst>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i val="true"/>
      <sz val="10"/>
      <color rgb="FF808080"/>
      <name val="Calibri"/>
      <family val="0"/>
      <charset val="1"/>
    </font>
    <font>
      <b val="true"/>
      <sz val="16"/>
      <name val="Calibri"/>
      <family val="0"/>
      <charset val="1"/>
    </font>
    <font>
      <sz val="10"/>
      <name val="Calibri"/>
      <family val="0"/>
      <charset val="1"/>
    </font>
    <font>
      <b val="true"/>
      <sz val="12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0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20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0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26"/>
    <col collapsed="false" customWidth="true" hidden="false" outlineLevel="0" max="8" min="8" style="0" width="30"/>
    <col collapsed="false" customWidth="true" hidden="false" outlineLevel="0" max="9" min="9" style="0" width="20"/>
    <col collapsed="false" customWidth="true" hidden="false" outlineLevel="0" max="11" min="10" style="0" width="46"/>
    <col collapsed="false" customWidth="true" hidden="false" outlineLevel="0" max="12" min="12" style="0" width="55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68.65" hidden="false" customHeight="false" outlineLevel="0" collapsed="false">
      <c r="A2" s="2" t="s">
        <v>12</v>
      </c>
      <c r="B2" s="2" t="s">
        <v>13</v>
      </c>
      <c r="C2" s="2" t="n">
        <v>100</v>
      </c>
      <c r="D2" s="2" t="n">
        <v>100</v>
      </c>
      <c r="E2" s="2" t="n">
        <v>0</v>
      </c>
      <c r="F2" s="2" t="n">
        <v>100</v>
      </c>
      <c r="G2" s="2" t="s">
        <v>14</v>
      </c>
      <c r="H2" s="2" t="s">
        <v>15</v>
      </c>
      <c r="I2" s="2" t="s">
        <v>14</v>
      </c>
      <c r="J2" s="2" t="s">
        <v>16</v>
      </c>
      <c r="K2" s="2" t="s">
        <v>17</v>
      </c>
      <c r="L2" s="2" t="s">
        <v>18</v>
      </c>
    </row>
    <row r="3" customFormat="false" ht="95.5" hidden="false" customHeight="false" outlineLevel="0" collapsed="false">
      <c r="A3" s="3" t="s">
        <v>19</v>
      </c>
      <c r="B3" s="3" t="s">
        <v>13</v>
      </c>
      <c r="C3" s="3" t="n">
        <v>45</v>
      </c>
      <c r="D3" s="3" t="n">
        <v>45</v>
      </c>
      <c r="E3" s="3" t="n">
        <v>0</v>
      </c>
      <c r="F3" s="3" t="n">
        <v>45</v>
      </c>
      <c r="G3" s="3" t="s">
        <v>14</v>
      </c>
      <c r="H3" s="3" t="s">
        <v>20</v>
      </c>
      <c r="I3" s="3" t="s">
        <v>14</v>
      </c>
      <c r="J3" s="3" t="s">
        <v>21</v>
      </c>
      <c r="K3" s="3" t="s">
        <v>22</v>
      </c>
      <c r="L3" s="3" t="s">
        <v>23</v>
      </c>
    </row>
    <row r="4" customFormat="false" ht="68.65" hidden="false" customHeight="false" outlineLevel="0" collapsed="false">
      <c r="A4" s="2" t="s">
        <v>24</v>
      </c>
      <c r="B4" s="2" t="s">
        <v>25</v>
      </c>
      <c r="C4" s="2" t="n">
        <v>500</v>
      </c>
      <c r="D4" s="2" t="n">
        <v>500</v>
      </c>
      <c r="E4" s="2" t="n">
        <v>0</v>
      </c>
      <c r="F4" s="2" t="n">
        <v>500</v>
      </c>
      <c r="G4" s="2" t="s">
        <v>26</v>
      </c>
      <c r="H4" s="2" t="s">
        <v>27</v>
      </c>
      <c r="I4" s="2" t="s">
        <v>14</v>
      </c>
      <c r="J4" s="2" t="s">
        <v>28</v>
      </c>
      <c r="K4" s="2" t="s">
        <v>29</v>
      </c>
      <c r="L4" s="2" t="s">
        <v>30</v>
      </c>
    </row>
    <row r="5" customFormat="false" ht="15" hidden="false" customHeight="false" outlineLevel="0" collapsed="false">
      <c r="A5" s="4" t="s">
        <v>31</v>
      </c>
      <c r="B5" s="4"/>
      <c r="C5" s="4" t="n">
        <f aca="false">SUM(C2:C4)</f>
        <v>645</v>
      </c>
      <c r="D5" s="4" t="n">
        <f aca="false">SUM(D2:D4)</f>
        <v>645</v>
      </c>
      <c r="E5" s="4" t="n">
        <f aca="false">SUM(E2:E4)</f>
        <v>0</v>
      </c>
      <c r="F5" s="4" t="n">
        <f aca="false">SUM(F2:F4)</f>
        <v>645</v>
      </c>
      <c r="G5" s="4"/>
      <c r="H5" s="4"/>
      <c r="I5" s="4"/>
      <c r="J5" s="4"/>
      <c r="K5" s="4"/>
      <c r="L5" s="4"/>
    </row>
  </sheetData>
  <autoFilter ref="A1:L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8" min="7" style="0" width="30"/>
    <col collapsed="false" customWidth="true" hidden="false" outlineLevel="0" max="9" min="9" style="0" width="22"/>
    <col collapsed="false" customWidth="true" hidden="false" outlineLevel="0" max="10" min="10" style="0" width="30"/>
    <col collapsed="false" customWidth="true" hidden="false" outlineLevel="0" max="11" min="11" style="0" width="40"/>
    <col collapsed="false" customWidth="true" hidden="false" outlineLevel="0" max="12" min="12" style="0" width="34"/>
    <col collapsed="false" customWidth="true" hidden="false" outlineLevel="0" max="14" min="13" style="0" width="10"/>
    <col collapsed="false" customWidth="true" hidden="false" outlineLevel="0" max="17" min="15" style="0" width="30"/>
    <col collapsed="false" customWidth="true" hidden="false" outlineLevel="0" max="18" min="18" style="0" width="20"/>
    <col collapsed="false" customWidth="true" hidden="false" outlineLevel="0" max="19" min="19" style="0" width="46"/>
  </cols>
  <sheetData>
    <row r="1" customFormat="false" ht="31.5" hidden="false" customHeight="true" outlineLevel="0" collapsed="false">
      <c r="A1" s="1" t="s">
        <v>0</v>
      </c>
      <c r="B1" s="1" t="s">
        <v>32</v>
      </c>
      <c r="C1" s="1" t="s">
        <v>33</v>
      </c>
      <c r="D1" s="1" t="s">
        <v>1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</row>
    <row r="2" customFormat="false" ht="68.65" hidden="false" customHeight="false" outlineLevel="0" collapsed="false">
      <c r="A2" s="2" t="s">
        <v>12</v>
      </c>
      <c r="B2" s="2" t="s">
        <v>49</v>
      </c>
      <c r="C2" s="2" t="s">
        <v>50</v>
      </c>
      <c r="D2" s="2" t="s">
        <v>51</v>
      </c>
      <c r="E2" s="2" t="n">
        <v>1</v>
      </c>
      <c r="F2" s="2" t="s">
        <v>52</v>
      </c>
      <c r="G2" s="2" t="s">
        <v>53</v>
      </c>
      <c r="H2" s="2" t="s">
        <v>54</v>
      </c>
      <c r="I2" s="2" t="s">
        <v>55</v>
      </c>
      <c r="J2" s="2" t="s">
        <v>56</v>
      </c>
      <c r="K2" s="2" t="s">
        <v>57</v>
      </c>
      <c r="L2" s="2" t="s">
        <v>58</v>
      </c>
      <c r="M2" s="2" t="s">
        <v>14</v>
      </c>
      <c r="N2" s="2" t="s">
        <v>14</v>
      </c>
      <c r="O2" s="2" t="s">
        <v>59</v>
      </c>
      <c r="P2" s="2" t="s">
        <v>60</v>
      </c>
      <c r="Q2" s="2" t="s">
        <v>14</v>
      </c>
      <c r="R2" s="2" t="s">
        <v>61</v>
      </c>
      <c r="S2" s="2" t="s">
        <v>62</v>
      </c>
    </row>
    <row r="3" customFormat="false" ht="41.75" hidden="false" customHeight="false" outlineLevel="0" collapsed="false">
      <c r="A3" s="3" t="s">
        <v>19</v>
      </c>
      <c r="B3" s="3" t="s">
        <v>63</v>
      </c>
      <c r="C3" s="3" t="s">
        <v>64</v>
      </c>
      <c r="D3" s="3" t="s">
        <v>51</v>
      </c>
      <c r="E3" s="3" t="n">
        <v>1</v>
      </c>
      <c r="F3" s="3" t="s">
        <v>65</v>
      </c>
      <c r="G3" s="3" t="s">
        <v>66</v>
      </c>
      <c r="H3" s="3" t="s">
        <v>67</v>
      </c>
      <c r="I3" s="3" t="s">
        <v>68</v>
      </c>
      <c r="J3" s="3" t="s">
        <v>69</v>
      </c>
      <c r="K3" s="3" t="s">
        <v>70</v>
      </c>
      <c r="L3" s="3" t="s">
        <v>71</v>
      </c>
      <c r="M3" s="3" t="s">
        <v>14</v>
      </c>
      <c r="N3" s="3" t="s">
        <v>14</v>
      </c>
      <c r="O3" s="3" t="s">
        <v>72</v>
      </c>
      <c r="P3" s="3" t="s">
        <v>73</v>
      </c>
      <c r="Q3" s="3" t="s">
        <v>14</v>
      </c>
      <c r="R3" s="3" t="s">
        <v>74</v>
      </c>
      <c r="S3" s="3" t="s">
        <v>75</v>
      </c>
    </row>
    <row r="4" customFormat="false" ht="55.2" hidden="false" customHeight="false" outlineLevel="0" collapsed="false">
      <c r="A4" s="2" t="s">
        <v>24</v>
      </c>
      <c r="B4" s="2" t="s">
        <v>76</v>
      </c>
      <c r="C4" s="2" t="s">
        <v>50</v>
      </c>
      <c r="D4" s="2" t="s">
        <v>77</v>
      </c>
      <c r="E4" s="2" t="n">
        <v>1</v>
      </c>
      <c r="F4" s="2" t="s">
        <v>65</v>
      </c>
      <c r="G4" s="2" t="s">
        <v>78</v>
      </c>
      <c r="H4" s="5" t="s">
        <v>79</v>
      </c>
      <c r="I4" s="2" t="s">
        <v>80</v>
      </c>
      <c r="J4" s="2" t="s">
        <v>81</v>
      </c>
      <c r="K4" s="2" t="s">
        <v>82</v>
      </c>
      <c r="L4" s="2" t="s">
        <v>83</v>
      </c>
      <c r="M4" s="2" t="s">
        <v>14</v>
      </c>
      <c r="N4" s="2" t="s">
        <v>14</v>
      </c>
      <c r="O4" s="2" t="s">
        <v>84</v>
      </c>
      <c r="P4" s="2" t="s">
        <v>85</v>
      </c>
      <c r="Q4" s="2" t="s">
        <v>86</v>
      </c>
      <c r="R4" s="2" t="s">
        <v>87</v>
      </c>
      <c r="S4" s="2" t="s">
        <v>88</v>
      </c>
    </row>
  </sheetData>
  <autoFilter ref="A1:S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55"/>
    <col collapsed="false" customWidth="true" hidden="false" outlineLevel="0" max="6" min="4" style="0" width="40"/>
  </cols>
  <sheetData>
    <row r="1" customFormat="false" ht="31.5" hidden="false" customHeight="true" outlineLevel="0" collapsed="false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</row>
    <row r="2" customFormat="false" ht="28.35" hidden="false" customHeight="false" outlineLevel="0" collapsed="false">
      <c r="A2" s="2" t="s">
        <v>95</v>
      </c>
      <c r="B2" s="2" t="s">
        <v>96</v>
      </c>
      <c r="C2" s="2" t="s">
        <v>97</v>
      </c>
      <c r="D2" s="2" t="s">
        <v>98</v>
      </c>
      <c r="E2" s="2" t="s">
        <v>99</v>
      </c>
      <c r="F2" s="2" t="s">
        <v>100</v>
      </c>
    </row>
    <row r="3" customFormat="false" ht="41.75" hidden="false" customHeight="false" outlineLevel="0" collapsed="false">
      <c r="A3" s="3" t="s">
        <v>101</v>
      </c>
      <c r="B3" s="3" t="s">
        <v>102</v>
      </c>
      <c r="C3" s="3" t="s">
        <v>103</v>
      </c>
      <c r="D3" s="3" t="s">
        <v>104</v>
      </c>
      <c r="E3" s="3" t="s">
        <v>104</v>
      </c>
      <c r="F3" s="3" t="s">
        <v>104</v>
      </c>
    </row>
    <row r="4" customFormat="false" ht="41.75" hidden="false" customHeight="false" outlineLevel="0" collapsed="false">
      <c r="A4" s="2" t="s">
        <v>105</v>
      </c>
      <c r="B4" s="2" t="s">
        <v>106</v>
      </c>
      <c r="C4" s="2" t="s">
        <v>107</v>
      </c>
      <c r="D4" s="2" t="s">
        <v>108</v>
      </c>
      <c r="E4" s="2" t="s">
        <v>109</v>
      </c>
      <c r="F4" s="2" t="s">
        <v>110</v>
      </c>
    </row>
    <row r="5" customFormat="false" ht="41.75" hidden="false" customHeight="false" outlineLevel="0" collapsed="false">
      <c r="A5" s="3" t="s">
        <v>111</v>
      </c>
      <c r="B5" s="3" t="s">
        <v>112</v>
      </c>
      <c r="C5" s="3" t="s">
        <v>113</v>
      </c>
      <c r="D5" s="3" t="s">
        <v>114</v>
      </c>
      <c r="E5" s="3" t="s">
        <v>115</v>
      </c>
      <c r="F5" s="3" t="s">
        <v>116</v>
      </c>
    </row>
    <row r="6" customFormat="false" ht="41.75" hidden="false" customHeight="false" outlineLevel="0" collapsed="false">
      <c r="A6" s="2" t="s">
        <v>117</v>
      </c>
      <c r="B6" s="2" t="s">
        <v>118</v>
      </c>
      <c r="C6" s="2" t="s">
        <v>119</v>
      </c>
      <c r="D6" s="2" t="s">
        <v>104</v>
      </c>
      <c r="E6" s="2" t="s">
        <v>104</v>
      </c>
      <c r="F6" s="2" t="s">
        <v>104</v>
      </c>
    </row>
    <row r="7" customFormat="false" ht="41.75" hidden="false" customHeight="false" outlineLevel="0" collapsed="false">
      <c r="A7" s="3" t="s">
        <v>120</v>
      </c>
      <c r="B7" s="3" t="s">
        <v>121</v>
      </c>
      <c r="C7" s="3" t="s">
        <v>122</v>
      </c>
      <c r="D7" s="3" t="s">
        <v>104</v>
      </c>
      <c r="E7" s="3" t="s">
        <v>123</v>
      </c>
      <c r="F7" s="3" t="s">
        <v>124</v>
      </c>
    </row>
    <row r="8" customFormat="false" ht="41.75" hidden="false" customHeight="false" outlineLevel="0" collapsed="false">
      <c r="A8" s="2" t="s">
        <v>125</v>
      </c>
      <c r="B8" s="2" t="s">
        <v>126</v>
      </c>
      <c r="C8" s="2" t="s">
        <v>127</v>
      </c>
      <c r="D8" s="2" t="s">
        <v>128</v>
      </c>
      <c r="E8" s="2" t="s">
        <v>128</v>
      </c>
      <c r="F8" s="2" t="s">
        <v>129</v>
      </c>
    </row>
    <row r="9" customFormat="false" ht="28.35" hidden="false" customHeight="false" outlineLevel="0" collapsed="false">
      <c r="A9" s="3" t="s">
        <v>130</v>
      </c>
      <c r="B9" s="3" t="s">
        <v>131</v>
      </c>
      <c r="C9" s="3" t="s">
        <v>132</v>
      </c>
      <c r="D9" s="3" t="s">
        <v>133</v>
      </c>
      <c r="E9" s="3" t="s">
        <v>134</v>
      </c>
      <c r="F9" s="3" t="s">
        <v>135</v>
      </c>
    </row>
    <row r="10" customFormat="false" ht="28.35" hidden="false" customHeight="false" outlineLevel="0" collapsed="false">
      <c r="A10" s="2" t="s">
        <v>136</v>
      </c>
      <c r="B10" s="2" t="s">
        <v>137</v>
      </c>
      <c r="C10" s="2" t="s">
        <v>138</v>
      </c>
      <c r="D10" s="2" t="s">
        <v>139</v>
      </c>
      <c r="E10" s="2" t="s">
        <v>140</v>
      </c>
      <c r="F10" s="2" t="s">
        <v>141</v>
      </c>
    </row>
  </sheetData>
  <autoFilter ref="A1:F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55"/>
    <col collapsed="false" customWidth="true" hidden="false" outlineLevel="0" max="4" min="4" style="0" width="65"/>
  </cols>
  <sheetData>
    <row r="1" customFormat="false" ht="31.5" hidden="false" customHeight="true" outlineLevel="0" collapsed="false">
      <c r="A1" s="1" t="s">
        <v>89</v>
      </c>
      <c r="B1" s="1" t="s">
        <v>142</v>
      </c>
      <c r="C1" s="1" t="s">
        <v>91</v>
      </c>
      <c r="D1" s="1" t="s">
        <v>143</v>
      </c>
    </row>
    <row r="2" customFormat="false" ht="28.35" hidden="false" customHeight="false" outlineLevel="0" collapsed="false">
      <c r="A2" s="2" t="s">
        <v>144</v>
      </c>
      <c r="B2" s="2" t="s">
        <v>145</v>
      </c>
      <c r="C2" s="2" t="s">
        <v>146</v>
      </c>
      <c r="D2" s="2" t="s">
        <v>147</v>
      </c>
    </row>
    <row r="3" customFormat="false" ht="28.35" hidden="false" customHeight="false" outlineLevel="0" collapsed="false">
      <c r="A3" s="3" t="s">
        <v>148</v>
      </c>
      <c r="B3" s="3" t="s">
        <v>149</v>
      </c>
      <c r="C3" s="3" t="s">
        <v>150</v>
      </c>
      <c r="D3" s="3" t="s">
        <v>151</v>
      </c>
    </row>
    <row r="4" customFormat="false" ht="41.75" hidden="false" customHeight="false" outlineLevel="0" collapsed="false">
      <c r="A4" s="2" t="s">
        <v>152</v>
      </c>
      <c r="B4" s="2" t="s">
        <v>153</v>
      </c>
      <c r="C4" s="2" t="s">
        <v>154</v>
      </c>
      <c r="D4" s="2" t="s">
        <v>155</v>
      </c>
    </row>
    <row r="5" customFormat="false" ht="82.05" hidden="false" customHeight="false" outlineLevel="0" collapsed="false">
      <c r="A5" s="3" t="s">
        <v>156</v>
      </c>
      <c r="B5" s="3" t="s">
        <v>157</v>
      </c>
      <c r="C5" s="3" t="s">
        <v>158</v>
      </c>
      <c r="D5" s="3" t="s">
        <v>159</v>
      </c>
    </row>
    <row r="6" customFormat="false" ht="28.35" hidden="false" customHeight="false" outlineLevel="0" collapsed="false">
      <c r="A6" s="2" t="s">
        <v>160</v>
      </c>
      <c r="B6" s="2" t="s">
        <v>161</v>
      </c>
      <c r="C6" s="2" t="s">
        <v>162</v>
      </c>
      <c r="D6" s="2" t="s">
        <v>163</v>
      </c>
    </row>
    <row r="7" customFormat="false" ht="28.35" hidden="false" customHeight="false" outlineLevel="0" collapsed="false">
      <c r="A7" s="3" t="s">
        <v>164</v>
      </c>
      <c r="B7" s="3" t="s">
        <v>165</v>
      </c>
      <c r="C7" s="3" t="s">
        <v>166</v>
      </c>
      <c r="D7" s="3" t="s">
        <v>167</v>
      </c>
    </row>
    <row r="8" customFormat="false" ht="55.2" hidden="false" customHeight="false" outlineLevel="0" collapsed="false">
      <c r="A8" s="2" t="s">
        <v>168</v>
      </c>
      <c r="B8" s="2" t="s">
        <v>169</v>
      </c>
      <c r="C8" s="2" t="s">
        <v>170</v>
      </c>
      <c r="D8" s="2" t="s">
        <v>171</v>
      </c>
    </row>
  </sheetData>
  <autoFilter ref="A1:D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8" min="6" style="0" width="40"/>
    <col collapsed="false" customWidth="true" hidden="false" outlineLevel="0" max="10" min="9" style="0" width="14"/>
    <col collapsed="false" customWidth="true" hidden="false" outlineLevel="0" max="11" min="11" style="0" width="46"/>
    <col collapsed="false" customWidth="true" hidden="false" outlineLevel="0" max="12" min="12" style="0" width="40"/>
  </cols>
  <sheetData>
    <row r="1" customFormat="false" ht="31.5" hidden="false" customHeight="true" outlineLevel="0" collapsed="false">
      <c r="A1" s="1" t="s">
        <v>172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12</v>
      </c>
      <c r="G1" s="1" t="s">
        <v>177</v>
      </c>
      <c r="H1" s="1" t="s">
        <v>24</v>
      </c>
      <c r="I1" s="1" t="s">
        <v>178</v>
      </c>
      <c r="J1" s="1" t="s">
        <v>179</v>
      </c>
      <c r="K1" s="1" t="s">
        <v>180</v>
      </c>
      <c r="L1" s="1" t="s">
        <v>11</v>
      </c>
    </row>
    <row r="2" customFormat="false" ht="15" hidden="false" customHeight="false" outlineLevel="0" collapsed="false">
      <c r="A2" s="2" t="s">
        <v>181</v>
      </c>
      <c r="B2" s="2" t="s">
        <v>182</v>
      </c>
      <c r="C2" s="2" t="s">
        <v>183</v>
      </c>
      <c r="D2" s="2"/>
      <c r="E2" s="2" t="s">
        <v>184</v>
      </c>
      <c r="F2" s="2" t="s">
        <v>185</v>
      </c>
      <c r="G2" s="2" t="s">
        <v>186</v>
      </c>
      <c r="H2" s="2" t="s">
        <v>187</v>
      </c>
      <c r="I2" s="2" t="s">
        <v>14</v>
      </c>
      <c r="J2" s="2" t="s">
        <v>14</v>
      </c>
      <c r="K2" s="2" t="s">
        <v>188</v>
      </c>
      <c r="L2" s="2"/>
    </row>
    <row r="3" customFormat="false" ht="28.35" hidden="false" customHeight="false" outlineLevel="0" collapsed="false">
      <c r="A3" s="3" t="s">
        <v>189</v>
      </c>
      <c r="B3" s="3" t="s">
        <v>190</v>
      </c>
      <c r="C3" s="3" t="s">
        <v>191</v>
      </c>
      <c r="D3" s="3"/>
      <c r="E3" s="3" t="s">
        <v>184</v>
      </c>
      <c r="F3" s="3" t="s">
        <v>192</v>
      </c>
      <c r="G3" s="3" t="s">
        <v>193</v>
      </c>
      <c r="H3" s="3" t="s">
        <v>194</v>
      </c>
      <c r="I3" s="3" t="s">
        <v>14</v>
      </c>
      <c r="J3" s="3" t="s">
        <v>14</v>
      </c>
      <c r="K3" s="3" t="s">
        <v>195</v>
      </c>
      <c r="L3" s="3" t="s">
        <v>196</v>
      </c>
    </row>
    <row r="4" customFormat="false" ht="35.05" hidden="false" customHeight="false" outlineLevel="0" collapsed="false">
      <c r="A4" s="2" t="s">
        <v>197</v>
      </c>
      <c r="B4" s="2" t="s">
        <v>198</v>
      </c>
      <c r="C4" s="2" t="s">
        <v>199</v>
      </c>
      <c r="D4" s="2"/>
      <c r="E4" s="2" t="s">
        <v>200</v>
      </c>
      <c r="F4" s="2" t="s">
        <v>201</v>
      </c>
      <c r="G4" s="2" t="s">
        <v>202</v>
      </c>
      <c r="H4" s="5" t="s">
        <v>203</v>
      </c>
      <c r="I4" s="2" t="s">
        <v>14</v>
      </c>
      <c r="J4" s="2" t="s">
        <v>14</v>
      </c>
      <c r="K4" s="2" t="s">
        <v>204</v>
      </c>
      <c r="L4" s="2"/>
    </row>
    <row r="5" customFormat="false" ht="28.35" hidden="false" customHeight="false" outlineLevel="0" collapsed="false">
      <c r="A5" s="3" t="s">
        <v>205</v>
      </c>
      <c r="B5" s="3" t="s">
        <v>206</v>
      </c>
      <c r="C5" s="3" t="s">
        <v>207</v>
      </c>
      <c r="D5" s="3" t="s">
        <v>208</v>
      </c>
      <c r="E5" s="3" t="s">
        <v>209</v>
      </c>
      <c r="F5" s="3" t="s">
        <v>210</v>
      </c>
      <c r="G5" s="6" t="s">
        <v>211</v>
      </c>
      <c r="H5" s="6" t="s">
        <v>211</v>
      </c>
      <c r="I5" s="3" t="s">
        <v>14</v>
      </c>
      <c r="J5" s="3" t="s">
        <v>74</v>
      </c>
      <c r="K5" s="3" t="s">
        <v>212</v>
      </c>
      <c r="L5" s="3" t="s">
        <v>213</v>
      </c>
    </row>
    <row r="6" customFormat="false" ht="15" hidden="false" customHeight="false" outlineLevel="0" collapsed="false">
      <c r="A6" s="2" t="s">
        <v>214</v>
      </c>
      <c r="B6" s="2" t="s">
        <v>215</v>
      </c>
      <c r="C6" s="2" t="s">
        <v>216</v>
      </c>
      <c r="D6" s="2" t="s">
        <v>217</v>
      </c>
      <c r="E6" s="2" t="s">
        <v>209</v>
      </c>
      <c r="F6" s="2" t="s">
        <v>210</v>
      </c>
      <c r="G6" s="5" t="s">
        <v>211</v>
      </c>
      <c r="H6" s="5" t="s">
        <v>211</v>
      </c>
      <c r="I6" s="2" t="s">
        <v>14</v>
      </c>
      <c r="J6" s="2" t="s">
        <v>74</v>
      </c>
      <c r="K6" s="2" t="s">
        <v>212</v>
      </c>
      <c r="L6" s="2"/>
    </row>
    <row r="7" customFormat="false" ht="28.35" hidden="false" customHeight="false" outlineLevel="0" collapsed="false">
      <c r="A7" s="3" t="s">
        <v>218</v>
      </c>
      <c r="B7" s="3" t="s">
        <v>219</v>
      </c>
      <c r="C7" s="3" t="s">
        <v>220</v>
      </c>
      <c r="D7" s="3" t="s">
        <v>221</v>
      </c>
      <c r="E7" s="3" t="s">
        <v>209</v>
      </c>
      <c r="F7" s="3" t="s">
        <v>222</v>
      </c>
      <c r="G7" s="6" t="s">
        <v>211</v>
      </c>
      <c r="H7" s="6" t="s">
        <v>211</v>
      </c>
      <c r="I7" s="3" t="s">
        <v>14</v>
      </c>
      <c r="J7" s="3" t="s">
        <v>74</v>
      </c>
      <c r="K7" s="3" t="s">
        <v>223</v>
      </c>
      <c r="L7" s="3"/>
    </row>
    <row r="8" customFormat="false" ht="41.75" hidden="false" customHeight="false" outlineLevel="0" collapsed="false">
      <c r="A8" s="2" t="s">
        <v>224</v>
      </c>
      <c r="B8" s="2" t="s">
        <v>225</v>
      </c>
      <c r="C8" s="2" t="s">
        <v>226</v>
      </c>
      <c r="D8" s="2" t="s">
        <v>227</v>
      </c>
      <c r="E8" s="2" t="s">
        <v>228</v>
      </c>
      <c r="F8" s="5" t="s">
        <v>211</v>
      </c>
      <c r="G8" s="5" t="s">
        <v>211</v>
      </c>
      <c r="H8" s="5" t="s">
        <v>211</v>
      </c>
      <c r="I8" s="2" t="s">
        <v>14</v>
      </c>
      <c r="J8" s="2" t="s">
        <v>74</v>
      </c>
      <c r="K8" s="2" t="s">
        <v>229</v>
      </c>
      <c r="L8" s="2" t="s">
        <v>230</v>
      </c>
    </row>
    <row r="9" customFormat="false" ht="15" hidden="false" customHeight="false" outlineLevel="0" collapsed="false">
      <c r="A9" s="3" t="s">
        <v>231</v>
      </c>
      <c r="B9" s="3" t="s">
        <v>232</v>
      </c>
      <c r="C9" s="3" t="s">
        <v>233</v>
      </c>
      <c r="D9" s="3"/>
      <c r="E9" s="3" t="s">
        <v>200</v>
      </c>
      <c r="F9" s="6" t="s">
        <v>211</v>
      </c>
      <c r="G9" s="6" t="s">
        <v>211</v>
      </c>
      <c r="H9" s="6" t="s">
        <v>211</v>
      </c>
      <c r="I9" s="3" t="s">
        <v>14</v>
      </c>
      <c r="J9" s="3" t="s">
        <v>74</v>
      </c>
      <c r="K9" s="3" t="s">
        <v>229</v>
      </c>
      <c r="L9" s="3" t="s">
        <v>234</v>
      </c>
    </row>
    <row r="10" customFormat="false" ht="28.35" hidden="false" customHeight="false" outlineLevel="0" collapsed="false">
      <c r="A10" s="2" t="s">
        <v>235</v>
      </c>
      <c r="B10" s="2" t="s">
        <v>236</v>
      </c>
      <c r="C10" s="2" t="s">
        <v>237</v>
      </c>
      <c r="D10" s="2" t="s">
        <v>238</v>
      </c>
      <c r="E10" s="2" t="s">
        <v>228</v>
      </c>
      <c r="F10" s="2" t="s">
        <v>210</v>
      </c>
      <c r="G10" s="5" t="s">
        <v>211</v>
      </c>
      <c r="H10" s="5" t="s">
        <v>211</v>
      </c>
      <c r="I10" s="2" t="s">
        <v>14</v>
      </c>
      <c r="J10" s="2" t="s">
        <v>14</v>
      </c>
      <c r="K10" s="2" t="s">
        <v>212</v>
      </c>
      <c r="L10" s="2" t="s">
        <v>239</v>
      </c>
    </row>
    <row r="11" customFormat="false" ht="15" hidden="false" customHeight="false" outlineLevel="0" collapsed="false">
      <c r="A11" s="3" t="s">
        <v>240</v>
      </c>
      <c r="B11" s="3" t="s">
        <v>241</v>
      </c>
      <c r="C11" s="3" t="s">
        <v>242</v>
      </c>
      <c r="D11" s="3" t="s">
        <v>238</v>
      </c>
      <c r="E11" s="3" t="s">
        <v>228</v>
      </c>
      <c r="F11" s="3" t="s">
        <v>210</v>
      </c>
      <c r="G11" s="6" t="s">
        <v>211</v>
      </c>
      <c r="H11" s="6" t="s">
        <v>211</v>
      </c>
      <c r="I11" s="3" t="s">
        <v>14</v>
      </c>
      <c r="J11" s="3" t="s">
        <v>14</v>
      </c>
      <c r="K11" s="3" t="s">
        <v>212</v>
      </c>
      <c r="L11" s="3"/>
    </row>
    <row r="12" customFormat="false" ht="35.05" hidden="false" customHeight="false" outlineLevel="0" collapsed="false">
      <c r="A12" s="2" t="s">
        <v>243</v>
      </c>
      <c r="B12" s="2" t="s">
        <v>244</v>
      </c>
      <c r="C12" s="2" t="s">
        <v>245</v>
      </c>
      <c r="D12" s="2" t="s">
        <v>246</v>
      </c>
      <c r="E12" s="2" t="s">
        <v>228</v>
      </c>
      <c r="F12" s="2" t="s">
        <v>210</v>
      </c>
      <c r="G12" s="2" t="s">
        <v>247</v>
      </c>
      <c r="H12" s="5" t="s">
        <v>248</v>
      </c>
      <c r="I12" s="2" t="s">
        <v>14</v>
      </c>
      <c r="J12" s="2" t="s">
        <v>14</v>
      </c>
      <c r="K12" s="2" t="s">
        <v>249</v>
      </c>
      <c r="L12" s="2"/>
    </row>
    <row r="13" customFormat="false" ht="28.35" hidden="false" customHeight="false" outlineLevel="0" collapsed="false">
      <c r="A13" s="3" t="s">
        <v>250</v>
      </c>
      <c r="B13" s="3" t="s">
        <v>251</v>
      </c>
      <c r="C13" s="3" t="s">
        <v>252</v>
      </c>
      <c r="D13" s="3" t="s">
        <v>246</v>
      </c>
      <c r="E13" s="3" t="s">
        <v>228</v>
      </c>
      <c r="F13" s="3" t="s">
        <v>210</v>
      </c>
      <c r="G13" s="6" t="s">
        <v>211</v>
      </c>
      <c r="H13" s="6" t="s">
        <v>253</v>
      </c>
      <c r="I13" s="3" t="s">
        <v>14</v>
      </c>
      <c r="J13" s="3" t="s">
        <v>14</v>
      </c>
      <c r="K13" s="3" t="s">
        <v>254</v>
      </c>
      <c r="L13" s="3" t="s">
        <v>255</v>
      </c>
    </row>
    <row r="14" customFormat="false" ht="41.75" hidden="false" customHeight="false" outlineLevel="0" collapsed="false">
      <c r="A14" s="2" t="s">
        <v>256</v>
      </c>
      <c r="B14" s="2" t="s">
        <v>257</v>
      </c>
      <c r="C14" s="2" t="s">
        <v>258</v>
      </c>
      <c r="D14" s="2" t="s">
        <v>259</v>
      </c>
      <c r="E14" s="2" t="s">
        <v>260</v>
      </c>
      <c r="F14" s="2" t="s">
        <v>210</v>
      </c>
      <c r="G14" s="5" t="s">
        <v>261</v>
      </c>
      <c r="H14" s="2" t="s">
        <v>262</v>
      </c>
      <c r="I14" s="2" t="s">
        <v>14</v>
      </c>
      <c r="J14" s="2" t="s">
        <v>14</v>
      </c>
      <c r="K14" s="2" t="s">
        <v>263</v>
      </c>
      <c r="L14" s="2"/>
    </row>
    <row r="15" customFormat="false" ht="28.35" hidden="false" customHeight="false" outlineLevel="0" collapsed="false">
      <c r="A15" s="3" t="s">
        <v>264</v>
      </c>
      <c r="B15" s="3" t="s">
        <v>265</v>
      </c>
      <c r="C15" s="3" t="s">
        <v>266</v>
      </c>
      <c r="D15" s="3" t="s">
        <v>267</v>
      </c>
      <c r="E15" s="3" t="s">
        <v>209</v>
      </c>
      <c r="F15" s="3" t="s">
        <v>268</v>
      </c>
      <c r="G15" s="6" t="s">
        <v>269</v>
      </c>
      <c r="H15" s="6" t="s">
        <v>270</v>
      </c>
      <c r="I15" s="3" t="s">
        <v>14</v>
      </c>
      <c r="J15" s="3" t="s">
        <v>14</v>
      </c>
      <c r="K15" s="3" t="s">
        <v>271</v>
      </c>
      <c r="L15" s="3"/>
    </row>
    <row r="16" customFormat="false" ht="28.35" hidden="false" customHeight="false" outlineLevel="0" collapsed="false">
      <c r="A16" s="2" t="s">
        <v>272</v>
      </c>
      <c r="B16" s="2" t="s">
        <v>273</v>
      </c>
      <c r="C16" s="2" t="s">
        <v>274</v>
      </c>
      <c r="D16" s="2" t="s">
        <v>259</v>
      </c>
      <c r="E16" s="2" t="s">
        <v>209</v>
      </c>
      <c r="F16" s="2" t="s">
        <v>210</v>
      </c>
      <c r="G16" s="2" t="s">
        <v>275</v>
      </c>
      <c r="H16" s="5" t="s">
        <v>276</v>
      </c>
      <c r="I16" s="2" t="s">
        <v>14</v>
      </c>
      <c r="J16" s="2" t="s">
        <v>14</v>
      </c>
      <c r="K16" s="2" t="s">
        <v>277</v>
      </c>
      <c r="L16" s="2"/>
    </row>
    <row r="17" customFormat="false" ht="28.35" hidden="false" customHeight="false" outlineLevel="0" collapsed="false">
      <c r="A17" s="3" t="s">
        <v>278</v>
      </c>
      <c r="B17" s="3" t="s">
        <v>279</v>
      </c>
      <c r="C17" s="3" t="s">
        <v>280</v>
      </c>
      <c r="D17" s="3" t="s">
        <v>281</v>
      </c>
      <c r="E17" s="3" t="s">
        <v>184</v>
      </c>
      <c r="F17" s="6" t="s">
        <v>211</v>
      </c>
      <c r="G17" s="3" t="s">
        <v>282</v>
      </c>
      <c r="H17" s="6" t="s">
        <v>211</v>
      </c>
      <c r="I17" s="3" t="s">
        <v>74</v>
      </c>
      <c r="J17" s="3" t="s">
        <v>14</v>
      </c>
      <c r="K17" s="3" t="s">
        <v>283</v>
      </c>
      <c r="L17" s="3" t="s">
        <v>284</v>
      </c>
    </row>
    <row r="18" customFormat="false" ht="28.35" hidden="false" customHeight="false" outlineLevel="0" collapsed="false">
      <c r="A18" s="2" t="s">
        <v>285</v>
      </c>
      <c r="B18" s="2" t="s">
        <v>286</v>
      </c>
      <c r="C18" s="2" t="s">
        <v>287</v>
      </c>
      <c r="D18" s="2" t="s">
        <v>288</v>
      </c>
      <c r="E18" s="2" t="s">
        <v>289</v>
      </c>
      <c r="F18" s="2" t="s">
        <v>290</v>
      </c>
      <c r="G18" s="2" t="s">
        <v>291</v>
      </c>
      <c r="H18" s="2" t="s">
        <v>292</v>
      </c>
      <c r="I18" s="2" t="s">
        <v>14</v>
      </c>
      <c r="J18" s="2" t="s">
        <v>14</v>
      </c>
      <c r="K18" s="2" t="s">
        <v>293</v>
      </c>
      <c r="L18" s="2"/>
    </row>
    <row r="19" customFormat="false" ht="23.85" hidden="false" customHeight="false" outlineLevel="0" collapsed="false">
      <c r="A19" s="3" t="s">
        <v>294</v>
      </c>
      <c r="B19" s="3" t="s">
        <v>295</v>
      </c>
      <c r="C19" s="3" t="s">
        <v>296</v>
      </c>
      <c r="D19" s="3" t="s">
        <v>288</v>
      </c>
      <c r="E19" s="3" t="s">
        <v>289</v>
      </c>
      <c r="F19" s="3" t="s">
        <v>290</v>
      </c>
      <c r="G19" s="6" t="s">
        <v>297</v>
      </c>
      <c r="H19" s="6" t="s">
        <v>298</v>
      </c>
      <c r="I19" s="3" t="s">
        <v>14</v>
      </c>
      <c r="J19" s="3" t="s">
        <v>14</v>
      </c>
      <c r="K19" s="3" t="s">
        <v>299</v>
      </c>
      <c r="L19" s="3"/>
    </row>
    <row r="20" customFormat="false" ht="28.35" hidden="false" customHeight="false" outlineLevel="0" collapsed="false">
      <c r="A20" s="2" t="s">
        <v>300</v>
      </c>
      <c r="B20" s="2" t="s">
        <v>301</v>
      </c>
      <c r="C20" s="2" t="s">
        <v>302</v>
      </c>
      <c r="D20" s="2" t="s">
        <v>288</v>
      </c>
      <c r="E20" s="2" t="s">
        <v>289</v>
      </c>
      <c r="F20" s="2" t="s">
        <v>290</v>
      </c>
      <c r="G20" s="2" t="s">
        <v>303</v>
      </c>
      <c r="H20" s="2" t="s">
        <v>304</v>
      </c>
      <c r="I20" s="2" t="s">
        <v>14</v>
      </c>
      <c r="J20" s="2" t="s">
        <v>14</v>
      </c>
      <c r="K20" s="2" t="s">
        <v>299</v>
      </c>
      <c r="L20" s="2"/>
    </row>
    <row r="21" customFormat="false" ht="41.75" hidden="false" customHeight="false" outlineLevel="0" collapsed="false">
      <c r="A21" s="3" t="s">
        <v>305</v>
      </c>
      <c r="B21" s="3" t="s">
        <v>306</v>
      </c>
      <c r="C21" s="3" t="s">
        <v>307</v>
      </c>
      <c r="D21" s="3" t="s">
        <v>308</v>
      </c>
      <c r="E21" s="3" t="s">
        <v>209</v>
      </c>
      <c r="F21" s="3" t="s">
        <v>309</v>
      </c>
      <c r="G21" s="6" t="s">
        <v>211</v>
      </c>
      <c r="H21" s="6" t="s">
        <v>211</v>
      </c>
      <c r="I21" s="3" t="s">
        <v>14</v>
      </c>
      <c r="J21" s="3" t="s">
        <v>14</v>
      </c>
      <c r="K21" s="3" t="s">
        <v>310</v>
      </c>
      <c r="L21" s="3" t="s">
        <v>311</v>
      </c>
    </row>
    <row r="22" customFormat="false" ht="15" hidden="false" customHeight="false" outlineLevel="0" collapsed="false">
      <c r="A22" s="2" t="s">
        <v>312</v>
      </c>
      <c r="B22" s="2" t="s">
        <v>313</v>
      </c>
      <c r="C22" s="2" t="s">
        <v>314</v>
      </c>
      <c r="D22" s="2" t="s">
        <v>308</v>
      </c>
      <c r="E22" s="2" t="s">
        <v>209</v>
      </c>
      <c r="F22" s="2" t="s">
        <v>210</v>
      </c>
      <c r="G22" s="5" t="s">
        <v>211</v>
      </c>
      <c r="H22" s="5" t="s">
        <v>211</v>
      </c>
      <c r="I22" s="2" t="s">
        <v>14</v>
      </c>
      <c r="J22" s="2" t="s">
        <v>14</v>
      </c>
      <c r="K22" s="2" t="s">
        <v>315</v>
      </c>
      <c r="L22" s="2"/>
    </row>
    <row r="23" customFormat="false" ht="28.35" hidden="false" customHeight="false" outlineLevel="0" collapsed="false">
      <c r="A23" s="3" t="s">
        <v>316</v>
      </c>
      <c r="B23" s="3" t="s">
        <v>317</v>
      </c>
      <c r="C23" s="3" t="s">
        <v>318</v>
      </c>
      <c r="D23" s="3" t="s">
        <v>308</v>
      </c>
      <c r="E23" s="3" t="s">
        <v>319</v>
      </c>
      <c r="F23" s="3" t="s">
        <v>320</v>
      </c>
      <c r="G23" s="3" t="s">
        <v>321</v>
      </c>
      <c r="H23" s="3" t="s">
        <v>321</v>
      </c>
      <c r="I23" s="3" t="s">
        <v>14</v>
      </c>
      <c r="J23" s="3" t="s">
        <v>14</v>
      </c>
      <c r="K23" s="3" t="s">
        <v>322</v>
      </c>
      <c r="L23" s="3"/>
    </row>
    <row r="24" customFormat="false" ht="15" hidden="false" customHeight="false" outlineLevel="0" collapsed="false">
      <c r="A24" s="2" t="s">
        <v>323</v>
      </c>
      <c r="B24" s="2" t="s">
        <v>324</v>
      </c>
      <c r="C24" s="2" t="s">
        <v>325</v>
      </c>
      <c r="D24" s="2" t="s">
        <v>326</v>
      </c>
      <c r="E24" s="2" t="s">
        <v>319</v>
      </c>
      <c r="F24" s="2" t="s">
        <v>327</v>
      </c>
      <c r="G24" s="2" t="s">
        <v>328</v>
      </c>
      <c r="H24" s="2" t="s">
        <v>328</v>
      </c>
      <c r="I24" s="2" t="s">
        <v>14</v>
      </c>
      <c r="J24" s="2" t="s">
        <v>14</v>
      </c>
      <c r="K24" s="2" t="s">
        <v>322</v>
      </c>
      <c r="L24" s="2"/>
    </row>
    <row r="25" customFormat="false" ht="41.75" hidden="false" customHeight="false" outlineLevel="0" collapsed="false">
      <c r="A25" s="3" t="s">
        <v>329</v>
      </c>
      <c r="B25" s="3" t="s">
        <v>330</v>
      </c>
      <c r="C25" s="3" t="s">
        <v>331</v>
      </c>
      <c r="D25" s="3" t="s">
        <v>308</v>
      </c>
      <c r="E25" s="3" t="s">
        <v>209</v>
      </c>
      <c r="F25" s="6" t="s">
        <v>211</v>
      </c>
      <c r="G25" s="6" t="s">
        <v>332</v>
      </c>
      <c r="H25" s="6" t="s">
        <v>333</v>
      </c>
      <c r="I25" s="3" t="s">
        <v>74</v>
      </c>
      <c r="J25" s="3" t="s">
        <v>74</v>
      </c>
      <c r="K25" s="3" t="s">
        <v>229</v>
      </c>
      <c r="L25" s="3" t="s">
        <v>334</v>
      </c>
    </row>
    <row r="26" customFormat="false" ht="23.85" hidden="false" customHeight="false" outlineLevel="0" collapsed="false">
      <c r="A26" s="2" t="s">
        <v>335</v>
      </c>
      <c r="B26" s="2" t="s">
        <v>336</v>
      </c>
      <c r="C26" s="2" t="s">
        <v>337</v>
      </c>
      <c r="D26" s="2" t="s">
        <v>308</v>
      </c>
      <c r="E26" s="2" t="s">
        <v>209</v>
      </c>
      <c r="F26" s="5" t="s">
        <v>211</v>
      </c>
      <c r="G26" s="5" t="s">
        <v>332</v>
      </c>
      <c r="H26" s="5" t="s">
        <v>333</v>
      </c>
      <c r="I26" s="2" t="s">
        <v>74</v>
      </c>
      <c r="J26" s="2" t="s">
        <v>74</v>
      </c>
      <c r="K26" s="2" t="s">
        <v>229</v>
      </c>
      <c r="L26" s="2"/>
    </row>
    <row r="27" customFormat="false" ht="23.85" hidden="false" customHeight="false" outlineLevel="0" collapsed="false">
      <c r="A27" s="3" t="s">
        <v>338</v>
      </c>
      <c r="B27" s="3" t="s">
        <v>339</v>
      </c>
      <c r="C27" s="3" t="s">
        <v>340</v>
      </c>
      <c r="D27" s="3" t="s">
        <v>326</v>
      </c>
      <c r="E27" s="3" t="s">
        <v>209</v>
      </c>
      <c r="F27" s="6" t="s">
        <v>211</v>
      </c>
      <c r="G27" s="6" t="s">
        <v>332</v>
      </c>
      <c r="H27" s="6" t="s">
        <v>333</v>
      </c>
      <c r="I27" s="3" t="s">
        <v>74</v>
      </c>
      <c r="J27" s="3" t="s">
        <v>74</v>
      </c>
      <c r="K27" s="3" t="s">
        <v>229</v>
      </c>
      <c r="L27" s="3"/>
    </row>
    <row r="28" customFormat="false" ht="68.65" hidden="false" customHeight="false" outlineLevel="0" collapsed="false">
      <c r="A28" s="2" t="s">
        <v>341</v>
      </c>
      <c r="B28" s="2" t="s">
        <v>342</v>
      </c>
      <c r="C28" s="2" t="s">
        <v>343</v>
      </c>
      <c r="D28" s="2" t="s">
        <v>344</v>
      </c>
      <c r="E28" s="2" t="s">
        <v>209</v>
      </c>
      <c r="F28" s="5" t="s">
        <v>211</v>
      </c>
      <c r="G28" s="5" t="s">
        <v>211</v>
      </c>
      <c r="H28" s="5" t="s">
        <v>211</v>
      </c>
      <c r="I28" s="2" t="s">
        <v>74</v>
      </c>
      <c r="J28" s="2" t="s">
        <v>74</v>
      </c>
      <c r="K28" s="2" t="s">
        <v>229</v>
      </c>
      <c r="L28" s="2" t="s">
        <v>345</v>
      </c>
    </row>
    <row r="29" customFormat="false" ht="15" hidden="false" customHeight="false" outlineLevel="0" collapsed="false">
      <c r="A29" s="3" t="s">
        <v>346</v>
      </c>
      <c r="B29" s="3" t="s">
        <v>347</v>
      </c>
      <c r="C29" s="3" t="s">
        <v>348</v>
      </c>
      <c r="D29" s="3"/>
      <c r="E29" s="3" t="s">
        <v>200</v>
      </c>
      <c r="F29" s="3" t="s">
        <v>349</v>
      </c>
      <c r="G29" s="3" t="s">
        <v>350</v>
      </c>
      <c r="H29" s="3" t="s">
        <v>350</v>
      </c>
      <c r="I29" s="3" t="s">
        <v>74</v>
      </c>
      <c r="J29" s="3" t="s">
        <v>74</v>
      </c>
      <c r="K29" s="3" t="s">
        <v>299</v>
      </c>
      <c r="L29" s="3"/>
    </row>
    <row r="30" customFormat="false" ht="23.85" hidden="false" customHeight="false" outlineLevel="0" collapsed="false">
      <c r="A30" s="2" t="s">
        <v>351</v>
      </c>
      <c r="B30" s="2" t="s">
        <v>352</v>
      </c>
      <c r="C30" s="2" t="s">
        <v>353</v>
      </c>
      <c r="D30" s="2"/>
      <c r="E30" s="2" t="s">
        <v>184</v>
      </c>
      <c r="F30" s="5" t="s">
        <v>354</v>
      </c>
      <c r="G30" s="2" t="s">
        <v>355</v>
      </c>
      <c r="H30" s="2" t="s">
        <v>356</v>
      </c>
      <c r="I30" s="2" t="s">
        <v>74</v>
      </c>
      <c r="J30" s="2" t="s">
        <v>74</v>
      </c>
      <c r="K30" s="2" t="s">
        <v>299</v>
      </c>
      <c r="L30" s="2"/>
    </row>
    <row r="31" customFormat="false" ht="23.85" hidden="false" customHeight="false" outlineLevel="0" collapsed="false">
      <c r="A31" s="3" t="s">
        <v>357</v>
      </c>
      <c r="B31" s="3" t="s">
        <v>358</v>
      </c>
      <c r="C31" s="3" t="s">
        <v>359</v>
      </c>
      <c r="D31" s="3" t="s">
        <v>360</v>
      </c>
      <c r="E31" s="3" t="s">
        <v>209</v>
      </c>
      <c r="F31" s="6" t="s">
        <v>361</v>
      </c>
      <c r="G31" s="3" t="s">
        <v>362</v>
      </c>
      <c r="H31" s="6" t="s">
        <v>363</v>
      </c>
      <c r="I31" s="3" t="s">
        <v>74</v>
      </c>
      <c r="J31" s="3" t="s">
        <v>74</v>
      </c>
      <c r="K31" s="3" t="s">
        <v>299</v>
      </c>
      <c r="L31" s="3"/>
    </row>
    <row r="32" customFormat="false" ht="41.75" hidden="false" customHeight="false" outlineLevel="0" collapsed="false">
      <c r="A32" s="2" t="s">
        <v>364</v>
      </c>
      <c r="B32" s="2" t="s">
        <v>365</v>
      </c>
      <c r="C32" s="2" t="s">
        <v>366</v>
      </c>
      <c r="D32" s="2" t="s">
        <v>367</v>
      </c>
      <c r="E32" s="2" t="s">
        <v>200</v>
      </c>
      <c r="F32" s="5" t="s">
        <v>211</v>
      </c>
      <c r="G32" s="5" t="s">
        <v>211</v>
      </c>
      <c r="H32" s="5" t="s">
        <v>368</v>
      </c>
      <c r="I32" s="2" t="s">
        <v>74</v>
      </c>
      <c r="J32" s="2" t="s">
        <v>14</v>
      </c>
      <c r="K32" s="2" t="s">
        <v>369</v>
      </c>
      <c r="L32" s="2"/>
    </row>
    <row r="33" customFormat="false" ht="28.35" hidden="false" customHeight="false" outlineLevel="0" collapsed="false">
      <c r="A33" s="3" t="s">
        <v>370</v>
      </c>
      <c r="B33" s="3" t="s">
        <v>371</v>
      </c>
      <c r="C33" s="3" t="s">
        <v>372</v>
      </c>
      <c r="D33" s="3" t="s">
        <v>288</v>
      </c>
      <c r="E33" s="3" t="s">
        <v>289</v>
      </c>
      <c r="F33" s="3" t="s">
        <v>290</v>
      </c>
      <c r="G33" s="3" t="s">
        <v>373</v>
      </c>
      <c r="H33" s="3" t="s">
        <v>374</v>
      </c>
      <c r="I33" s="3" t="s">
        <v>14</v>
      </c>
      <c r="J33" s="3" t="s">
        <v>14</v>
      </c>
      <c r="K33" s="3" t="s">
        <v>299</v>
      </c>
      <c r="L33" s="3"/>
    </row>
    <row r="34" customFormat="false" ht="28.35" hidden="false" customHeight="false" outlineLevel="0" collapsed="false">
      <c r="A34" s="2" t="s">
        <v>375</v>
      </c>
      <c r="B34" s="2" t="s">
        <v>376</v>
      </c>
      <c r="C34" s="2" t="s">
        <v>377</v>
      </c>
      <c r="D34" s="2"/>
      <c r="E34" s="2" t="s">
        <v>184</v>
      </c>
      <c r="F34" s="2" t="s">
        <v>378</v>
      </c>
      <c r="G34" s="2" t="s">
        <v>379</v>
      </c>
      <c r="H34" s="2" t="s">
        <v>380</v>
      </c>
      <c r="I34" s="2" t="s">
        <v>14</v>
      </c>
      <c r="J34" s="2" t="s">
        <v>14</v>
      </c>
      <c r="K34" s="2" t="s">
        <v>299</v>
      </c>
      <c r="L34" s="2"/>
    </row>
  </sheetData>
  <autoFilter ref="A1:L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5" min="5" style="0" width="34"/>
  </cols>
  <sheetData>
    <row r="1" customFormat="false" ht="31.5" hidden="false" customHeight="true" outlineLevel="0" collapsed="false">
      <c r="A1" s="1" t="s">
        <v>0</v>
      </c>
      <c r="B1" s="1" t="s">
        <v>381</v>
      </c>
      <c r="C1" s="1" t="s">
        <v>382</v>
      </c>
      <c r="D1" s="1" t="s">
        <v>1</v>
      </c>
      <c r="E1" s="1" t="s">
        <v>383</v>
      </c>
    </row>
    <row r="2" customFormat="false" ht="15" hidden="false" customHeight="false" outlineLevel="0" collapsed="false">
      <c r="A2" s="2" t="s">
        <v>12</v>
      </c>
      <c r="B2" s="2" t="n">
        <v>100</v>
      </c>
      <c r="C2" s="7" t="n">
        <f aca="false">B2/B5</f>
        <v>0.155038759689922</v>
      </c>
      <c r="D2" s="2" t="s">
        <v>13</v>
      </c>
      <c r="E2" s="2" t="s">
        <v>384</v>
      </c>
    </row>
    <row r="3" customFormat="false" ht="15" hidden="false" customHeight="false" outlineLevel="0" collapsed="false">
      <c r="A3" s="3" t="s">
        <v>19</v>
      </c>
      <c r="B3" s="3" t="n">
        <v>45</v>
      </c>
      <c r="C3" s="8" t="n">
        <f aca="false">B3/B5</f>
        <v>0.0697674418604651</v>
      </c>
      <c r="D3" s="3" t="s">
        <v>13</v>
      </c>
      <c r="E3" s="3" t="s">
        <v>385</v>
      </c>
    </row>
    <row r="4" customFormat="false" ht="28.35" hidden="false" customHeight="false" outlineLevel="0" collapsed="false">
      <c r="A4" s="2" t="s">
        <v>24</v>
      </c>
      <c r="B4" s="2" t="n">
        <v>500</v>
      </c>
      <c r="C4" s="7" t="n">
        <f aca="false">B4/B5</f>
        <v>0.775193798449612</v>
      </c>
      <c r="D4" s="2" t="s">
        <v>25</v>
      </c>
      <c r="E4" s="2" t="s">
        <v>386</v>
      </c>
    </row>
    <row r="5" customFormat="false" ht="15" hidden="false" customHeight="false" outlineLevel="0" collapsed="false">
      <c r="A5" s="4" t="s">
        <v>31</v>
      </c>
      <c r="B5" s="4" t="n">
        <f aca="false">SUM(B2:B4)</f>
        <v>645</v>
      </c>
      <c r="C5" s="9" t="n">
        <f aca="false">SUM(C2:C4)</f>
        <v>1</v>
      </c>
      <c r="D5" s="4"/>
      <c r="E5" s="4"/>
    </row>
  </sheetData>
  <autoFilter ref="A1:E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40"/>
    <col collapsed="false" customWidth="true" hidden="false" outlineLevel="0" max="5" min="5" style="0" width="30"/>
    <col collapsed="false" customWidth="true" hidden="false" outlineLevel="0" max="6" min="6" style="0" width="46"/>
  </cols>
  <sheetData>
    <row r="1" customFormat="false" ht="31.5" hidden="false" customHeight="true" outlineLevel="0" collapsed="false">
      <c r="A1" s="1" t="s">
        <v>387</v>
      </c>
      <c r="B1" s="1" t="s">
        <v>12</v>
      </c>
      <c r="C1" s="1" t="s">
        <v>177</v>
      </c>
      <c r="D1" s="1" t="s">
        <v>24</v>
      </c>
      <c r="E1" s="1" t="s">
        <v>388</v>
      </c>
      <c r="F1" s="1" t="s">
        <v>389</v>
      </c>
    </row>
    <row r="2" customFormat="false" ht="15" hidden="false" customHeight="false" outlineLevel="0" collapsed="false">
      <c r="A2" s="2" t="s">
        <v>182</v>
      </c>
      <c r="B2" s="2" t="s">
        <v>185</v>
      </c>
      <c r="C2" s="2" t="s">
        <v>186</v>
      </c>
      <c r="D2" s="2" t="s">
        <v>187</v>
      </c>
      <c r="E2" s="2" t="s">
        <v>390</v>
      </c>
      <c r="F2" s="2" t="s">
        <v>391</v>
      </c>
    </row>
    <row r="3" customFormat="false" ht="15" hidden="false" customHeight="false" outlineLevel="0" collapsed="false">
      <c r="A3" s="3" t="s">
        <v>190</v>
      </c>
      <c r="B3" s="3" t="s">
        <v>192</v>
      </c>
      <c r="C3" s="3" t="s">
        <v>193</v>
      </c>
      <c r="D3" s="3" t="s">
        <v>194</v>
      </c>
      <c r="E3" s="3" t="s">
        <v>390</v>
      </c>
      <c r="F3" s="3" t="s">
        <v>392</v>
      </c>
    </row>
    <row r="4" customFormat="false" ht="35.05" hidden="false" customHeight="false" outlineLevel="0" collapsed="false">
      <c r="A4" s="2" t="s">
        <v>198</v>
      </c>
      <c r="B4" s="2" t="s">
        <v>201</v>
      </c>
      <c r="C4" s="2" t="s">
        <v>202</v>
      </c>
      <c r="D4" s="5" t="s">
        <v>203</v>
      </c>
      <c r="E4" s="2" t="s">
        <v>393</v>
      </c>
      <c r="F4" s="2" t="s">
        <v>394</v>
      </c>
    </row>
    <row r="5" customFormat="false" ht="28.35" hidden="false" customHeight="false" outlineLevel="0" collapsed="false">
      <c r="A5" s="3" t="s">
        <v>206</v>
      </c>
      <c r="B5" s="3" t="s">
        <v>210</v>
      </c>
      <c r="C5" s="6" t="s">
        <v>211</v>
      </c>
      <c r="D5" s="6" t="s">
        <v>211</v>
      </c>
      <c r="E5" s="3" t="s">
        <v>393</v>
      </c>
      <c r="F5" s="3" t="s">
        <v>395</v>
      </c>
    </row>
    <row r="6" customFormat="false" ht="28.35" hidden="false" customHeight="false" outlineLevel="0" collapsed="false">
      <c r="A6" s="2" t="s">
        <v>215</v>
      </c>
      <c r="B6" s="2" t="s">
        <v>210</v>
      </c>
      <c r="C6" s="5" t="s">
        <v>211</v>
      </c>
      <c r="D6" s="5" t="s">
        <v>211</v>
      </c>
      <c r="E6" s="2" t="s">
        <v>393</v>
      </c>
      <c r="F6" s="2" t="s">
        <v>396</v>
      </c>
    </row>
    <row r="7" customFormat="false" ht="28.35" hidden="false" customHeight="false" outlineLevel="0" collapsed="false">
      <c r="A7" s="3" t="s">
        <v>219</v>
      </c>
      <c r="B7" s="3" t="s">
        <v>222</v>
      </c>
      <c r="C7" s="6" t="s">
        <v>211</v>
      </c>
      <c r="D7" s="6" t="s">
        <v>211</v>
      </c>
      <c r="E7" s="3" t="s">
        <v>393</v>
      </c>
      <c r="F7" s="3" t="s">
        <v>397</v>
      </c>
    </row>
    <row r="8" customFormat="false" ht="28.35" hidden="false" customHeight="false" outlineLevel="0" collapsed="false">
      <c r="A8" s="2" t="s">
        <v>225</v>
      </c>
      <c r="B8" s="5" t="s">
        <v>211</v>
      </c>
      <c r="C8" s="5" t="s">
        <v>211</v>
      </c>
      <c r="D8" s="5" t="s">
        <v>211</v>
      </c>
      <c r="E8" s="2" t="s">
        <v>398</v>
      </c>
      <c r="F8" s="2" t="s">
        <v>399</v>
      </c>
    </row>
    <row r="9" customFormat="false" ht="28.35" hidden="false" customHeight="false" outlineLevel="0" collapsed="false">
      <c r="A9" s="3" t="s">
        <v>232</v>
      </c>
      <c r="B9" s="6" t="s">
        <v>211</v>
      </c>
      <c r="C9" s="6" t="s">
        <v>211</v>
      </c>
      <c r="D9" s="6" t="s">
        <v>211</v>
      </c>
      <c r="E9" s="3" t="s">
        <v>398</v>
      </c>
      <c r="F9" s="3" t="s">
        <v>400</v>
      </c>
    </row>
    <row r="10" customFormat="false" ht="28.35" hidden="false" customHeight="false" outlineLevel="0" collapsed="false">
      <c r="A10" s="2" t="s">
        <v>236</v>
      </c>
      <c r="B10" s="2" t="s">
        <v>210</v>
      </c>
      <c r="C10" s="5" t="s">
        <v>211</v>
      </c>
      <c r="D10" s="5" t="s">
        <v>211</v>
      </c>
      <c r="E10" s="2" t="s">
        <v>393</v>
      </c>
      <c r="F10" s="2" t="s">
        <v>401</v>
      </c>
    </row>
    <row r="11" customFormat="false" ht="28.35" hidden="false" customHeight="false" outlineLevel="0" collapsed="false">
      <c r="A11" s="3" t="s">
        <v>241</v>
      </c>
      <c r="B11" s="3" t="s">
        <v>210</v>
      </c>
      <c r="C11" s="6" t="s">
        <v>211</v>
      </c>
      <c r="D11" s="6" t="s">
        <v>211</v>
      </c>
      <c r="E11" s="3" t="s">
        <v>393</v>
      </c>
      <c r="F11" s="3" t="s">
        <v>402</v>
      </c>
    </row>
    <row r="12" customFormat="false" ht="35.05" hidden="false" customHeight="false" outlineLevel="0" collapsed="false">
      <c r="A12" s="2" t="s">
        <v>244</v>
      </c>
      <c r="B12" s="2" t="s">
        <v>210</v>
      </c>
      <c r="C12" s="2" t="s">
        <v>247</v>
      </c>
      <c r="D12" s="5" t="s">
        <v>248</v>
      </c>
      <c r="E12" s="2" t="s">
        <v>393</v>
      </c>
      <c r="F12" s="2" t="s">
        <v>403</v>
      </c>
    </row>
    <row r="13" customFormat="false" ht="28.35" hidden="false" customHeight="false" outlineLevel="0" collapsed="false">
      <c r="A13" s="3" t="s">
        <v>251</v>
      </c>
      <c r="B13" s="3" t="s">
        <v>210</v>
      </c>
      <c r="C13" s="6" t="s">
        <v>211</v>
      </c>
      <c r="D13" s="6" t="s">
        <v>253</v>
      </c>
      <c r="E13" s="3" t="s">
        <v>393</v>
      </c>
      <c r="F13" s="3" t="s">
        <v>404</v>
      </c>
    </row>
    <row r="14" customFormat="false" ht="41.75" hidden="false" customHeight="false" outlineLevel="0" collapsed="false">
      <c r="A14" s="2" t="s">
        <v>257</v>
      </c>
      <c r="B14" s="2" t="s">
        <v>210</v>
      </c>
      <c r="C14" s="5" t="s">
        <v>261</v>
      </c>
      <c r="D14" s="2" t="s">
        <v>262</v>
      </c>
      <c r="E14" s="2" t="s">
        <v>393</v>
      </c>
      <c r="F14" s="2" t="s">
        <v>405</v>
      </c>
    </row>
    <row r="15" customFormat="false" ht="41.75" hidden="false" customHeight="false" outlineLevel="0" collapsed="false">
      <c r="A15" s="3" t="s">
        <v>265</v>
      </c>
      <c r="B15" s="3" t="s">
        <v>268</v>
      </c>
      <c r="C15" s="6" t="s">
        <v>269</v>
      </c>
      <c r="D15" s="6" t="s">
        <v>270</v>
      </c>
      <c r="E15" s="3" t="s">
        <v>393</v>
      </c>
      <c r="F15" s="3" t="s">
        <v>406</v>
      </c>
    </row>
    <row r="16" customFormat="false" ht="41.75" hidden="false" customHeight="false" outlineLevel="0" collapsed="false">
      <c r="A16" s="2" t="s">
        <v>273</v>
      </c>
      <c r="B16" s="2" t="s">
        <v>210</v>
      </c>
      <c r="C16" s="2" t="s">
        <v>275</v>
      </c>
      <c r="D16" s="5" t="s">
        <v>276</v>
      </c>
      <c r="E16" s="2" t="s">
        <v>393</v>
      </c>
      <c r="F16" s="2" t="s">
        <v>407</v>
      </c>
    </row>
    <row r="17" customFormat="false" ht="28.35" hidden="false" customHeight="false" outlineLevel="0" collapsed="false">
      <c r="A17" s="3" t="s">
        <v>279</v>
      </c>
      <c r="B17" s="6" t="s">
        <v>211</v>
      </c>
      <c r="C17" s="3" t="s">
        <v>282</v>
      </c>
      <c r="D17" s="6" t="s">
        <v>211</v>
      </c>
      <c r="E17" s="3" t="s">
        <v>393</v>
      </c>
      <c r="F17" s="3" t="s">
        <v>408</v>
      </c>
    </row>
    <row r="18" customFormat="false" ht="28.35" hidden="false" customHeight="false" outlineLevel="0" collapsed="false">
      <c r="A18" s="2" t="s">
        <v>286</v>
      </c>
      <c r="B18" s="2" t="s">
        <v>290</v>
      </c>
      <c r="C18" s="2" t="s">
        <v>291</v>
      </c>
      <c r="D18" s="2" t="s">
        <v>292</v>
      </c>
      <c r="E18" s="2" t="s">
        <v>390</v>
      </c>
      <c r="F18" s="2" t="s">
        <v>409</v>
      </c>
    </row>
    <row r="19" customFormat="false" ht="41.75" hidden="false" customHeight="false" outlineLevel="0" collapsed="false">
      <c r="A19" s="3" t="s">
        <v>295</v>
      </c>
      <c r="B19" s="3" t="s">
        <v>290</v>
      </c>
      <c r="C19" s="6" t="s">
        <v>297</v>
      </c>
      <c r="D19" s="6" t="s">
        <v>298</v>
      </c>
      <c r="E19" s="3" t="s">
        <v>393</v>
      </c>
      <c r="F19" s="3" t="s">
        <v>410</v>
      </c>
    </row>
    <row r="20" customFormat="false" ht="28.35" hidden="false" customHeight="false" outlineLevel="0" collapsed="false">
      <c r="A20" s="2" t="s">
        <v>301</v>
      </c>
      <c r="B20" s="2" t="s">
        <v>290</v>
      </c>
      <c r="C20" s="2" t="s">
        <v>303</v>
      </c>
      <c r="D20" s="2" t="s">
        <v>304</v>
      </c>
      <c r="E20" s="2" t="s">
        <v>390</v>
      </c>
      <c r="F20" s="2" t="s">
        <v>411</v>
      </c>
    </row>
    <row r="21" customFormat="false" ht="28.35" hidden="false" customHeight="false" outlineLevel="0" collapsed="false">
      <c r="A21" s="3" t="s">
        <v>306</v>
      </c>
      <c r="B21" s="3" t="s">
        <v>309</v>
      </c>
      <c r="C21" s="6" t="s">
        <v>211</v>
      </c>
      <c r="D21" s="6" t="s">
        <v>211</v>
      </c>
      <c r="E21" s="3" t="s">
        <v>393</v>
      </c>
      <c r="F21" s="3" t="s">
        <v>412</v>
      </c>
    </row>
    <row r="22" customFormat="false" ht="28.35" hidden="false" customHeight="false" outlineLevel="0" collapsed="false">
      <c r="A22" s="2" t="s">
        <v>313</v>
      </c>
      <c r="B22" s="2" t="s">
        <v>210</v>
      </c>
      <c r="C22" s="5" t="s">
        <v>211</v>
      </c>
      <c r="D22" s="5" t="s">
        <v>211</v>
      </c>
      <c r="E22" s="2" t="s">
        <v>393</v>
      </c>
      <c r="F22" s="2" t="s">
        <v>413</v>
      </c>
    </row>
    <row r="23" customFormat="false" ht="28.35" hidden="false" customHeight="false" outlineLevel="0" collapsed="false">
      <c r="A23" s="3" t="s">
        <v>317</v>
      </c>
      <c r="B23" s="3" t="s">
        <v>320</v>
      </c>
      <c r="C23" s="3" t="s">
        <v>321</v>
      </c>
      <c r="D23" s="3" t="s">
        <v>321</v>
      </c>
      <c r="E23" s="3" t="s">
        <v>393</v>
      </c>
      <c r="F23" s="3" t="s">
        <v>414</v>
      </c>
    </row>
    <row r="24" customFormat="false" ht="28.35" hidden="false" customHeight="false" outlineLevel="0" collapsed="false">
      <c r="A24" s="2" t="s">
        <v>324</v>
      </c>
      <c r="B24" s="2" t="s">
        <v>327</v>
      </c>
      <c r="C24" s="2" t="s">
        <v>328</v>
      </c>
      <c r="D24" s="2" t="s">
        <v>328</v>
      </c>
      <c r="E24" s="2" t="s">
        <v>393</v>
      </c>
      <c r="F24" s="2" t="s">
        <v>414</v>
      </c>
    </row>
    <row r="25" customFormat="false" ht="28.35" hidden="false" customHeight="false" outlineLevel="0" collapsed="false">
      <c r="A25" s="3" t="s">
        <v>330</v>
      </c>
      <c r="B25" s="6" t="s">
        <v>211</v>
      </c>
      <c r="C25" s="6" t="s">
        <v>332</v>
      </c>
      <c r="D25" s="6" t="s">
        <v>333</v>
      </c>
      <c r="E25" s="3" t="s">
        <v>398</v>
      </c>
      <c r="F25" s="3" t="s">
        <v>415</v>
      </c>
    </row>
    <row r="26" customFormat="false" ht="28.35" hidden="false" customHeight="false" outlineLevel="0" collapsed="false">
      <c r="A26" s="2" t="s">
        <v>336</v>
      </c>
      <c r="B26" s="5" t="s">
        <v>211</v>
      </c>
      <c r="C26" s="5" t="s">
        <v>332</v>
      </c>
      <c r="D26" s="5" t="s">
        <v>333</v>
      </c>
      <c r="E26" s="2" t="s">
        <v>398</v>
      </c>
      <c r="F26" s="2" t="s">
        <v>416</v>
      </c>
    </row>
    <row r="27" customFormat="false" ht="28.35" hidden="false" customHeight="false" outlineLevel="0" collapsed="false">
      <c r="A27" s="3" t="s">
        <v>339</v>
      </c>
      <c r="B27" s="6" t="s">
        <v>211</v>
      </c>
      <c r="C27" s="6" t="s">
        <v>332</v>
      </c>
      <c r="D27" s="6" t="s">
        <v>333</v>
      </c>
      <c r="E27" s="3" t="s">
        <v>398</v>
      </c>
      <c r="F27" s="3" t="s">
        <v>417</v>
      </c>
    </row>
    <row r="28" customFormat="false" ht="41.75" hidden="false" customHeight="false" outlineLevel="0" collapsed="false">
      <c r="A28" s="2" t="s">
        <v>342</v>
      </c>
      <c r="B28" s="5" t="s">
        <v>211</v>
      </c>
      <c r="C28" s="5" t="s">
        <v>211</v>
      </c>
      <c r="D28" s="5" t="s">
        <v>211</v>
      </c>
      <c r="E28" s="2" t="s">
        <v>398</v>
      </c>
      <c r="F28" s="2" t="s">
        <v>418</v>
      </c>
    </row>
    <row r="29" customFormat="false" ht="28.35" hidden="false" customHeight="false" outlineLevel="0" collapsed="false">
      <c r="A29" s="3" t="s">
        <v>347</v>
      </c>
      <c r="B29" s="3" t="s">
        <v>349</v>
      </c>
      <c r="C29" s="3" t="s">
        <v>350</v>
      </c>
      <c r="D29" s="3" t="s">
        <v>350</v>
      </c>
      <c r="E29" s="3" t="s">
        <v>390</v>
      </c>
      <c r="F29" s="3" t="s">
        <v>419</v>
      </c>
    </row>
    <row r="30" customFormat="false" ht="28.35" hidden="false" customHeight="false" outlineLevel="0" collapsed="false">
      <c r="A30" s="2" t="s">
        <v>352</v>
      </c>
      <c r="B30" s="5" t="s">
        <v>354</v>
      </c>
      <c r="C30" s="2" t="s">
        <v>355</v>
      </c>
      <c r="D30" s="2" t="s">
        <v>356</v>
      </c>
      <c r="E30" s="2" t="s">
        <v>393</v>
      </c>
      <c r="F30" s="2" t="s">
        <v>420</v>
      </c>
    </row>
    <row r="31" customFormat="false" ht="28.35" hidden="false" customHeight="false" outlineLevel="0" collapsed="false">
      <c r="A31" s="3" t="s">
        <v>358</v>
      </c>
      <c r="B31" s="6" t="s">
        <v>361</v>
      </c>
      <c r="C31" s="3" t="s">
        <v>362</v>
      </c>
      <c r="D31" s="6" t="s">
        <v>363</v>
      </c>
      <c r="E31" s="3" t="s">
        <v>393</v>
      </c>
      <c r="F31" s="3" t="s">
        <v>421</v>
      </c>
    </row>
    <row r="32" customFormat="false" ht="41.75" hidden="false" customHeight="false" outlineLevel="0" collapsed="false">
      <c r="A32" s="2" t="s">
        <v>365</v>
      </c>
      <c r="B32" s="5" t="s">
        <v>211</v>
      </c>
      <c r="C32" s="5" t="s">
        <v>211</v>
      </c>
      <c r="D32" s="5" t="s">
        <v>368</v>
      </c>
      <c r="E32" s="2" t="s">
        <v>398</v>
      </c>
      <c r="F32" s="2" t="s">
        <v>422</v>
      </c>
    </row>
    <row r="33" customFormat="false" ht="28.35" hidden="false" customHeight="false" outlineLevel="0" collapsed="false">
      <c r="A33" s="3" t="s">
        <v>371</v>
      </c>
      <c r="B33" s="3" t="s">
        <v>290</v>
      </c>
      <c r="C33" s="3" t="s">
        <v>373</v>
      </c>
      <c r="D33" s="3" t="s">
        <v>374</v>
      </c>
      <c r="E33" s="3" t="s">
        <v>390</v>
      </c>
      <c r="F33" s="3" t="s">
        <v>423</v>
      </c>
    </row>
    <row r="34" customFormat="false" ht="28.35" hidden="false" customHeight="false" outlineLevel="0" collapsed="false">
      <c r="A34" s="2" t="s">
        <v>376</v>
      </c>
      <c r="B34" s="2" t="s">
        <v>378</v>
      </c>
      <c r="C34" s="2" t="s">
        <v>379</v>
      </c>
      <c r="D34" s="2" t="s">
        <v>380</v>
      </c>
      <c r="E34" s="2" t="s">
        <v>390</v>
      </c>
      <c r="F34" s="2" t="s">
        <v>424</v>
      </c>
    </row>
  </sheetData>
  <autoFilter ref="A1:F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90"/>
  </cols>
  <sheetData>
    <row r="1" customFormat="false" ht="31.5" hidden="false" customHeight="true" outlineLevel="0" collapsed="false">
      <c r="A1" s="1" t="s">
        <v>425</v>
      </c>
      <c r="B1" s="1" t="s">
        <v>426</v>
      </c>
      <c r="C1" s="1" t="s">
        <v>174</v>
      </c>
    </row>
    <row r="2" customFormat="false" ht="41.75" hidden="false" customHeight="false" outlineLevel="0" collapsed="false">
      <c r="A2" s="2" t="s">
        <v>427</v>
      </c>
      <c r="B2" s="2" t="n">
        <v>4</v>
      </c>
      <c r="C2" s="2" t="s">
        <v>428</v>
      </c>
    </row>
    <row r="3" customFormat="false" ht="28.35" hidden="false" customHeight="false" outlineLevel="0" collapsed="false">
      <c r="A3" s="3" t="s">
        <v>429</v>
      </c>
      <c r="B3" s="3" t="n">
        <v>4</v>
      </c>
      <c r="C3" s="3" t="s">
        <v>430</v>
      </c>
    </row>
    <row r="4" customFormat="false" ht="28.35" hidden="false" customHeight="false" outlineLevel="0" collapsed="false">
      <c r="A4" s="2" t="s">
        <v>431</v>
      </c>
      <c r="B4" s="2" t="n">
        <v>3</v>
      </c>
      <c r="C4" s="2" t="s">
        <v>432</v>
      </c>
    </row>
    <row r="5" customFormat="false" ht="55.2" hidden="false" customHeight="false" outlineLevel="0" collapsed="false">
      <c r="A5" s="3" t="s">
        <v>433</v>
      </c>
      <c r="B5" s="3" t="n">
        <v>1</v>
      </c>
      <c r="C5" s="3" t="s">
        <v>434</v>
      </c>
    </row>
    <row r="6" customFormat="false" ht="15" hidden="false" customHeight="false" outlineLevel="0" collapsed="false">
      <c r="A6" s="2" t="s">
        <v>435</v>
      </c>
      <c r="B6" s="2" t="n">
        <v>3</v>
      </c>
      <c r="C6" s="2" t="s">
        <v>436</v>
      </c>
    </row>
    <row r="7" customFormat="false" ht="15" hidden="false" customHeight="false" outlineLevel="0" collapsed="false">
      <c r="A7" s="3" t="s">
        <v>437</v>
      </c>
      <c r="B7" s="3" t="n">
        <v>645</v>
      </c>
      <c r="C7" s="3" t="s">
        <v>438</v>
      </c>
    </row>
  </sheetData>
  <autoFilter ref="A1:C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5" min="4" style="0" width="10"/>
    <col collapsed="false" customWidth="true" hidden="false" outlineLevel="0" max="6" min="6" style="0" width="40"/>
    <col collapsed="false" customWidth="true" hidden="false" outlineLevel="0" max="7" min="7" style="0" width="34"/>
    <col collapsed="false" customWidth="true" hidden="false" outlineLevel="0" max="8" min="8" style="0" width="40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55"/>
  </cols>
  <sheetData>
    <row r="1" customFormat="false" ht="31.5" hidden="false" customHeight="true" outlineLevel="0" collapsed="false">
      <c r="A1" s="1" t="s">
        <v>0</v>
      </c>
      <c r="B1" s="1" t="s">
        <v>439</v>
      </c>
      <c r="C1" s="1" t="s">
        <v>440</v>
      </c>
      <c r="D1" s="1" t="s">
        <v>42</v>
      </c>
      <c r="E1" s="1" t="s">
        <v>43</v>
      </c>
      <c r="F1" s="1" t="s">
        <v>441</v>
      </c>
      <c r="G1" s="1" t="s">
        <v>442</v>
      </c>
      <c r="H1" s="1" t="s">
        <v>443</v>
      </c>
      <c r="I1" s="1" t="s">
        <v>47</v>
      </c>
      <c r="J1" s="1" t="s">
        <v>444</v>
      </c>
      <c r="K1" s="1" t="s">
        <v>445</v>
      </c>
    </row>
    <row r="2" customFormat="false" ht="41.75" hidden="false" customHeight="false" outlineLevel="0" collapsed="false">
      <c r="A2" s="2" t="s">
        <v>12</v>
      </c>
      <c r="B2" s="2" t="s">
        <v>14</v>
      </c>
      <c r="C2" s="2" t="s">
        <v>14</v>
      </c>
      <c r="D2" s="2" t="s">
        <v>14</v>
      </c>
      <c r="E2" s="2" t="s">
        <v>14</v>
      </c>
      <c r="F2" s="2" t="s">
        <v>446</v>
      </c>
      <c r="G2" s="2" t="s">
        <v>447</v>
      </c>
      <c r="H2" s="2" t="s">
        <v>448</v>
      </c>
      <c r="I2" s="2" t="s">
        <v>74</v>
      </c>
      <c r="J2" s="10" t="s">
        <v>449</v>
      </c>
      <c r="K2" s="2" t="s">
        <v>450</v>
      </c>
    </row>
    <row r="3" customFormat="false" ht="41.75" hidden="false" customHeight="false" outlineLevel="0" collapsed="false">
      <c r="A3" s="3" t="s">
        <v>19</v>
      </c>
      <c r="B3" s="3" t="s">
        <v>451</v>
      </c>
      <c r="C3" s="3" t="s">
        <v>14</v>
      </c>
      <c r="D3" s="3" t="s">
        <v>14</v>
      </c>
      <c r="E3" s="3" t="s">
        <v>14</v>
      </c>
      <c r="F3" s="3" t="s">
        <v>452</v>
      </c>
      <c r="G3" s="3" t="s">
        <v>453</v>
      </c>
      <c r="H3" s="3" t="s">
        <v>454</v>
      </c>
      <c r="I3" s="3" t="s">
        <v>74</v>
      </c>
      <c r="J3" s="11" t="s">
        <v>455</v>
      </c>
      <c r="K3" s="3" t="s">
        <v>456</v>
      </c>
    </row>
    <row r="4" customFormat="false" ht="55.2" hidden="false" customHeight="false" outlineLevel="0" collapsed="false">
      <c r="A4" s="2" t="s">
        <v>24</v>
      </c>
      <c r="B4" s="2" t="s">
        <v>457</v>
      </c>
      <c r="C4" s="2" t="s">
        <v>14</v>
      </c>
      <c r="D4" s="2" t="s">
        <v>14</v>
      </c>
      <c r="E4" s="2" t="s">
        <v>14</v>
      </c>
      <c r="F4" s="2" t="s">
        <v>458</v>
      </c>
      <c r="G4" s="2" t="s">
        <v>459</v>
      </c>
      <c r="H4" s="2" t="s">
        <v>460</v>
      </c>
      <c r="I4" s="2" t="s">
        <v>461</v>
      </c>
      <c r="J4" s="11" t="s">
        <v>455</v>
      </c>
      <c r="K4" s="2" t="s">
        <v>462</v>
      </c>
    </row>
  </sheetData>
  <autoFilter ref="A1:K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90"/>
  </cols>
  <sheetData>
    <row r="1" customFormat="false" ht="31.5" hidden="false" customHeight="true" outlineLevel="0" collapsed="false">
      <c r="A1" s="1" t="s">
        <v>463</v>
      </c>
      <c r="B1" s="1" t="s">
        <v>464</v>
      </c>
      <c r="C1" s="1" t="s">
        <v>465</v>
      </c>
    </row>
    <row r="2" customFormat="false" ht="15" hidden="false" customHeight="false" outlineLevel="0" collapsed="false">
      <c r="A2" s="2" t="s">
        <v>466</v>
      </c>
      <c r="B2" s="10" t="s">
        <v>14</v>
      </c>
      <c r="C2" s="2" t="s">
        <v>467</v>
      </c>
    </row>
    <row r="3" customFormat="false" ht="28.35" hidden="false" customHeight="false" outlineLevel="0" collapsed="false">
      <c r="A3" s="3" t="s">
        <v>468</v>
      </c>
      <c r="B3" s="10" t="s">
        <v>14</v>
      </c>
      <c r="C3" s="3" t="s">
        <v>469</v>
      </c>
    </row>
    <row r="4" customFormat="false" ht="41.75" hidden="false" customHeight="false" outlineLevel="0" collapsed="false">
      <c r="A4" s="2" t="s">
        <v>470</v>
      </c>
      <c r="B4" s="11" t="s">
        <v>471</v>
      </c>
      <c r="C4" s="2" t="s">
        <v>472</v>
      </c>
    </row>
    <row r="5" customFormat="false" ht="28.35" hidden="false" customHeight="false" outlineLevel="0" collapsed="false">
      <c r="A5" s="3" t="s">
        <v>473</v>
      </c>
      <c r="B5" s="10" t="s">
        <v>14</v>
      </c>
      <c r="C5" s="3" t="s">
        <v>474</v>
      </c>
    </row>
    <row r="6" customFormat="false" ht="28.35" hidden="false" customHeight="false" outlineLevel="0" collapsed="false">
      <c r="A6" s="2" t="s">
        <v>475</v>
      </c>
      <c r="B6" s="11" t="s">
        <v>471</v>
      </c>
      <c r="C6" s="2" t="s">
        <v>476</v>
      </c>
    </row>
    <row r="7" customFormat="false" ht="28.35" hidden="false" customHeight="false" outlineLevel="0" collapsed="false">
      <c r="A7" s="3" t="s">
        <v>477</v>
      </c>
      <c r="B7" s="11" t="s">
        <v>471</v>
      </c>
      <c r="C7" s="3" t="s">
        <v>478</v>
      </c>
    </row>
    <row r="8" customFormat="false" ht="28.35" hidden="false" customHeight="false" outlineLevel="0" collapsed="false">
      <c r="A8" s="2" t="s">
        <v>479</v>
      </c>
      <c r="B8" s="10" t="s">
        <v>14</v>
      </c>
      <c r="C8" s="2" t="s">
        <v>480</v>
      </c>
    </row>
    <row r="9" customFormat="false" ht="41.75" hidden="false" customHeight="false" outlineLevel="0" collapsed="false">
      <c r="A9" s="3" t="s">
        <v>481</v>
      </c>
      <c r="B9" s="10" t="s">
        <v>14</v>
      </c>
      <c r="C9" s="3" t="s">
        <v>482</v>
      </c>
    </row>
    <row r="10" customFormat="false" ht="28.35" hidden="false" customHeight="false" outlineLevel="0" collapsed="false">
      <c r="A10" s="2" t="s">
        <v>483</v>
      </c>
      <c r="B10" s="10" t="s">
        <v>14</v>
      </c>
      <c r="C10" s="2" t="s">
        <v>484</v>
      </c>
    </row>
    <row r="11" customFormat="false" ht="28.35" hidden="false" customHeight="false" outlineLevel="0" collapsed="false">
      <c r="A11" s="3" t="s">
        <v>485</v>
      </c>
      <c r="B11" s="10" t="s">
        <v>14</v>
      </c>
      <c r="C11" s="3" t="s">
        <v>486</v>
      </c>
    </row>
  </sheetData>
  <autoFilter ref="A1:C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20.85" hidden="false" customHeight="false" outlineLevel="0" collapsed="false">
      <c r="A1" s="12" t="s">
        <v>487</v>
      </c>
    </row>
    <row r="2" customFormat="false" ht="15" hidden="false" customHeight="false" outlineLevel="0" collapsed="false">
      <c r="A2" s="13"/>
    </row>
    <row r="3" customFormat="false" ht="15" hidden="false" customHeight="false" outlineLevel="0" collapsed="false">
      <c r="A3" s="14" t="s">
        <v>488</v>
      </c>
    </row>
    <row r="4" customFormat="false" ht="15" hidden="false" customHeight="false" outlineLevel="0" collapsed="false">
      <c r="A4" s="13"/>
    </row>
    <row r="5" customFormat="false" ht="46.25" hidden="false" customHeight="false" outlineLevel="0" collapsed="false">
      <c r="A5" s="13" t="s">
        <v>489</v>
      </c>
    </row>
    <row r="6" customFormat="false" ht="15" hidden="false" customHeight="false" outlineLevel="0" collapsed="false">
      <c r="A6" s="13"/>
    </row>
    <row r="7" customFormat="false" ht="15" hidden="false" customHeight="false" outlineLevel="0" collapsed="false">
      <c r="A7" s="15" t="s">
        <v>490</v>
      </c>
    </row>
    <row r="8" customFormat="false" ht="15" hidden="false" customHeight="false" outlineLevel="0" collapsed="false">
      <c r="A8" s="13"/>
    </row>
    <row r="9" customFormat="false" ht="15" hidden="false" customHeight="false" outlineLevel="0" collapsed="false">
      <c r="A9" s="15" t="s">
        <v>491</v>
      </c>
    </row>
    <row r="10" customFormat="false" ht="15" hidden="false" customHeight="false" outlineLevel="0" collapsed="false">
      <c r="A10" s="13" t="s">
        <v>492</v>
      </c>
    </row>
    <row r="11" customFormat="false" ht="15" hidden="false" customHeight="false" outlineLevel="0" collapsed="false">
      <c r="A11" s="13" t="s">
        <v>493</v>
      </c>
    </row>
    <row r="12" customFormat="false" ht="15" hidden="false" customHeight="false" outlineLevel="0" collapsed="false">
      <c r="A12" s="13" t="s">
        <v>494</v>
      </c>
    </row>
    <row r="13" customFormat="false" ht="15" hidden="false" customHeight="false" outlineLevel="0" collapsed="false">
      <c r="A13" s="13" t="s">
        <v>495</v>
      </c>
    </row>
    <row r="14" customFormat="false" ht="15" hidden="false" customHeight="false" outlineLevel="0" collapsed="false">
      <c r="A14" s="13" t="s">
        <v>496</v>
      </c>
    </row>
    <row r="15" customFormat="false" ht="15" hidden="false" customHeight="false" outlineLevel="0" collapsed="false">
      <c r="A15" s="13" t="s">
        <v>497</v>
      </c>
    </row>
    <row r="16" customFormat="false" ht="15" hidden="false" customHeight="false" outlineLevel="0" collapsed="false">
      <c r="A16" s="13" t="s">
        <v>498</v>
      </c>
    </row>
    <row r="17" customFormat="false" ht="15" hidden="false" customHeight="false" outlineLevel="0" collapsed="false">
      <c r="A17" s="13" t="s">
        <v>499</v>
      </c>
    </row>
    <row r="18" customFormat="false" ht="15" hidden="false" customHeight="false" outlineLevel="0" collapsed="false">
      <c r="A18" s="13" t="s">
        <v>500</v>
      </c>
    </row>
    <row r="19" customFormat="false" ht="15" hidden="false" customHeight="false" outlineLevel="0" collapsed="false">
      <c r="A19" s="13" t="s">
        <v>501</v>
      </c>
    </row>
    <row r="20" customFormat="false" ht="15" hidden="false" customHeight="false" outlineLevel="0" collapsed="false">
      <c r="A20" s="13"/>
    </row>
    <row r="21" customFormat="false" ht="15" hidden="false" customHeight="false" outlineLevel="0" collapsed="false">
      <c r="A21" s="15" t="s">
        <v>502</v>
      </c>
    </row>
    <row r="22" customFormat="false" ht="15" hidden="false" customHeight="false" outlineLevel="0" collapsed="false">
      <c r="A22" s="13" t="s">
        <v>503</v>
      </c>
    </row>
    <row r="23" customFormat="false" ht="23.85" hidden="false" customHeight="false" outlineLevel="0" collapsed="false">
      <c r="A23" s="13" t="s">
        <v>504</v>
      </c>
    </row>
    <row r="24" customFormat="false" ht="23.85" hidden="false" customHeight="false" outlineLevel="0" collapsed="false">
      <c r="A24" s="13" t="s">
        <v>505</v>
      </c>
    </row>
    <row r="25" customFormat="false" ht="15" hidden="false" customHeight="false" outlineLevel="0" collapsed="false">
      <c r="A25" s="13"/>
    </row>
    <row r="26" customFormat="false" ht="23.85" hidden="false" customHeight="false" outlineLevel="0" collapsed="false">
      <c r="A26" s="13" t="s">
        <v>506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2026-07-29T20:47:06Z</dcterms:created>
  <dc:creator>openpyxl</dc:creator>
  <dc:description/>
  <dc:language>en-US</dc:language>
  <cp:lastModifiedBy/>
  <dcterms:modified xsi:type="dcterms:W3CDTF">2026-07-29T20:47:06Z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